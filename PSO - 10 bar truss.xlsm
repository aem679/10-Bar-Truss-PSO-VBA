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41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ashleymarshall/Documents/Year 4/MECH3890 Individual Project/"/>
    </mc:Choice>
  </mc:AlternateContent>
  <xr:revisionPtr revIDLastSave="0" documentId="13_ncr:1_{FFFE2AB8-EC13-E647-A38A-83AFC3233128}" xr6:coauthVersionLast="32" xr6:coauthVersionMax="32" xr10:uidLastSave="{00000000-0000-0000-0000-000000000000}"/>
  <bookViews>
    <workbookView xWindow="0" yWindow="460" windowWidth="25600" windowHeight="14180" tabRatio="500" xr2:uid="{00000000-000D-0000-FFFF-FFFF00000000}"/>
  </bookViews>
  <sheets>
    <sheet name="Home" sheetId="10" r:id="rId1"/>
    <sheet name="Multiruns" sheetId="28" r:id="rId2"/>
    <sheet name="Global Best" sheetId="16" r:id="rId3"/>
    <sheet name="Global Best Function" sheetId="27" r:id="rId4"/>
    <sheet name="Functions" sheetId="18" r:id="rId5"/>
    <sheet name="Best Position" sheetId="23" r:id="rId6"/>
    <sheet name="Worst Position" sheetId="24" r:id="rId7"/>
  </sheets>
  <calcPr calcId="179017" iterateCount="1000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4" i="28" l="1"/>
  <c r="E4" i="28"/>
  <c r="C4" i="28"/>
  <c r="D2" i="28"/>
  <c r="E2" i="28"/>
  <c r="F2" i="28"/>
  <c r="G2" i="28"/>
  <c r="H2" i="28"/>
  <c r="I2" i="28"/>
  <c r="C2" i="28"/>
  <c r="R3" i="10"/>
  <c r="R2" i="10"/>
  <c r="Q3" i="10"/>
  <c r="Q2" i="10"/>
  <c r="U95" i="10" l="1"/>
  <c r="U92" i="10"/>
  <c r="T80" i="10"/>
  <c r="T79" i="10"/>
  <c r="S78" i="10"/>
  <c r="P78" i="10"/>
  <c r="O78" i="10"/>
  <c r="S77" i="10"/>
  <c r="P77" i="10"/>
  <c r="O77" i="10"/>
  <c r="X59" i="10"/>
  <c r="X58" i="10"/>
  <c r="X57" i="10"/>
  <c r="X56" i="10"/>
  <c r="X55" i="10"/>
  <c r="X54" i="10"/>
  <c r="X53" i="10"/>
  <c r="X52" i="10"/>
  <c r="P17" i="10"/>
  <c r="Q17" i="10" s="1"/>
  <c r="P16" i="10"/>
  <c r="AA84" i="10" s="1"/>
  <c r="P15" i="10"/>
  <c r="I9" i="10" s="1"/>
  <c r="P14" i="10"/>
  <c r="AC82" i="10" s="1"/>
  <c r="P13" i="10"/>
  <c r="AA81" i="10" s="1"/>
  <c r="S12" i="10"/>
  <c r="P12" i="10"/>
  <c r="P11" i="10"/>
  <c r="AC79" i="10" s="1"/>
  <c r="P10" i="10"/>
  <c r="S10" i="10" s="1"/>
  <c r="S9" i="10"/>
  <c r="R9" i="10"/>
  <c r="U64" i="10" s="1"/>
  <c r="P9" i="10"/>
  <c r="P8" i="10"/>
  <c r="Q8" i="10" s="1"/>
  <c r="I3" i="10"/>
  <c r="S15" i="10" l="1"/>
  <c r="S17" i="10"/>
  <c r="AK30" i="10" s="1"/>
  <c r="I4" i="10"/>
  <c r="I8" i="10"/>
  <c r="Q10" i="10"/>
  <c r="Y23" i="10" s="1"/>
  <c r="AA25" i="10" s="1"/>
  <c r="S14" i="10"/>
  <c r="S16" i="10"/>
  <c r="R10" i="10"/>
  <c r="Z64" i="10" s="1"/>
  <c r="Y65" i="10" s="1"/>
  <c r="AA67" i="10" s="1"/>
  <c r="S8" i="10"/>
  <c r="Q23" i="10" s="1"/>
  <c r="S13" i="10"/>
  <c r="O64" i="10"/>
  <c r="W66" i="10"/>
  <c r="T65" i="10"/>
  <c r="V67" i="10" s="1"/>
  <c r="AI70" i="10"/>
  <c r="AC81" i="10"/>
  <c r="W24" i="10"/>
  <c r="I2" i="10"/>
  <c r="AC80" i="10"/>
  <c r="AA80" i="10"/>
  <c r="AA82" i="10"/>
  <c r="I5" i="10"/>
  <c r="AA83" i="10"/>
  <c r="AC83" i="10"/>
  <c r="AA79" i="10"/>
  <c r="I6" i="10"/>
  <c r="AC77" i="10"/>
  <c r="AA77" i="10"/>
  <c r="I10" i="10"/>
  <c r="R11" i="10"/>
  <c r="Q12" i="10"/>
  <c r="Q13" i="10"/>
  <c r="Q14" i="10"/>
  <c r="Q15" i="10"/>
  <c r="Q16" i="10"/>
  <c r="U24" i="10"/>
  <c r="W26" i="10" s="1"/>
  <c r="AC84" i="10"/>
  <c r="AC76" i="10"/>
  <c r="AA76" i="10"/>
  <c r="Q11" i="10"/>
  <c r="AC85" i="10"/>
  <c r="AA85" i="10"/>
  <c r="I7" i="10"/>
  <c r="R8" i="10"/>
  <c r="Q9" i="10"/>
  <c r="AC78" i="10"/>
  <c r="AA78" i="10"/>
  <c r="I11" i="10"/>
  <c r="S11" i="10"/>
  <c r="R12" i="10"/>
  <c r="R13" i="10"/>
  <c r="R14" i="10"/>
  <c r="R15" i="10"/>
  <c r="R16" i="10"/>
  <c r="R17" i="10"/>
  <c r="AA23" i="10" l="1"/>
  <c r="Y25" i="10" s="1"/>
  <c r="Q41" i="10" s="1"/>
  <c r="AB39" i="10" s="1"/>
  <c r="AI30" i="10"/>
  <c r="AK32" i="10" s="1"/>
  <c r="AJ30" i="10"/>
  <c r="AL32" i="10" s="1"/>
  <c r="AK33" i="10" s="1"/>
  <c r="AB23" i="10"/>
  <c r="T39" i="10" s="1"/>
  <c r="AE37" i="10" s="1"/>
  <c r="AB66" i="10"/>
  <c r="Z24" i="10"/>
  <c r="AB26" i="10" s="1"/>
  <c r="O23" i="10"/>
  <c r="Q25" i="10" s="1"/>
  <c r="Z23" i="10"/>
  <c r="AB25" i="10" s="1"/>
  <c r="Y64" i="10"/>
  <c r="AA66" i="10" s="1"/>
  <c r="AB24" i="10"/>
  <c r="AI64" i="10"/>
  <c r="AK23" i="10"/>
  <c r="AI23" i="10"/>
  <c r="AK25" i="10" s="1"/>
  <c r="AJ23" i="10"/>
  <c r="AL23" i="10"/>
  <c r="AE64" i="10"/>
  <c r="AG24" i="10"/>
  <c r="AE24" i="10"/>
  <c r="AG26" i="10" s="1"/>
  <c r="T70" i="10"/>
  <c r="V30" i="10"/>
  <c r="W30" i="10"/>
  <c r="U30" i="10"/>
  <c r="T30" i="10"/>
  <c r="V32" i="10" s="1"/>
  <c r="Q37" i="10"/>
  <c r="O25" i="10"/>
  <c r="O39" i="10" s="1"/>
  <c r="U31" i="10"/>
  <c r="W33" i="10" s="1"/>
  <c r="U70" i="10"/>
  <c r="W31" i="10"/>
  <c r="P64" i="10"/>
  <c r="P24" i="10"/>
  <c r="R24" i="10"/>
  <c r="AD70" i="10"/>
  <c r="AF30" i="10"/>
  <c r="AE30" i="10"/>
  <c r="AD30" i="10"/>
  <c r="AF32" i="10" s="1"/>
  <c r="AG30" i="10"/>
  <c r="I12" i="10"/>
  <c r="AJ71" i="10"/>
  <c r="AL73" i="10" s="1"/>
  <c r="AK72" i="10"/>
  <c r="AJ70" i="10"/>
  <c r="AJ31" i="10"/>
  <c r="AL33" i="10" s="1"/>
  <c r="AL31" i="10"/>
  <c r="P70" i="10"/>
  <c r="P31" i="10"/>
  <c r="R33" i="10" s="1"/>
  <c r="V44" i="10" s="1"/>
  <c r="R31" i="10"/>
  <c r="AD64" i="10"/>
  <c r="AF23" i="10"/>
  <c r="AG23" i="10"/>
  <c r="AE23" i="10"/>
  <c r="AD23" i="10"/>
  <c r="AF25" i="10" s="1"/>
  <c r="AA30" i="10"/>
  <c r="Y30" i="10"/>
  <c r="AA32" i="10" s="1"/>
  <c r="Y70" i="10"/>
  <c r="Z30" i="10"/>
  <c r="AB30" i="10"/>
  <c r="X44" i="10"/>
  <c r="U26" i="10"/>
  <c r="V46" i="10" s="1"/>
  <c r="AL30" i="10"/>
  <c r="P23" i="10"/>
  <c r="AE70" i="10"/>
  <c r="AE31" i="10"/>
  <c r="AG33" i="10" s="1"/>
  <c r="AG31" i="10"/>
  <c r="AJ64" i="10"/>
  <c r="AJ24" i="10"/>
  <c r="AL26" i="10" s="1"/>
  <c r="AL24" i="10"/>
  <c r="Z70" i="10"/>
  <c r="AB31" i="10"/>
  <c r="Z31" i="10"/>
  <c r="AB33" i="10" s="1"/>
  <c r="T64" i="10"/>
  <c r="V23" i="10"/>
  <c r="U23" i="10"/>
  <c r="T23" i="10"/>
  <c r="V25" i="10" s="1"/>
  <c r="W23" i="10"/>
  <c r="O70" i="10"/>
  <c r="Q30" i="10"/>
  <c r="O30" i="10"/>
  <c r="Q32" i="10" s="1"/>
  <c r="P30" i="10"/>
  <c r="R30" i="10"/>
  <c r="Y41" i="10"/>
  <c r="AH39" i="10" s="1"/>
  <c r="AI32" i="10"/>
  <c r="S47" i="10" s="1"/>
  <c r="AD43" i="10" s="1"/>
  <c r="R23" i="10"/>
  <c r="P65" i="10"/>
  <c r="R67" i="10" s="1"/>
  <c r="Q66" i="10"/>
  <c r="S39" i="10" l="1"/>
  <c r="AD37" i="10" s="1"/>
  <c r="AI31" i="10"/>
  <c r="Y24" i="10"/>
  <c r="Y26" i="10"/>
  <c r="Q42" i="10" s="1"/>
  <c r="AB40" i="10" s="1"/>
  <c r="AA24" i="10"/>
  <c r="Z25" i="10" s="1"/>
  <c r="R41" i="10" s="1"/>
  <c r="AC39" i="10" s="1"/>
  <c r="Z65" i="10"/>
  <c r="AB67" i="10" s="1"/>
  <c r="Z26" i="10"/>
  <c r="R42" i="10" s="1"/>
  <c r="AC40" i="10" s="1"/>
  <c r="T40" i="10"/>
  <c r="AE38" i="10" s="1"/>
  <c r="O37" i="10"/>
  <c r="X46" i="10"/>
  <c r="AG42" i="10" s="1"/>
  <c r="S41" i="10"/>
  <c r="AD39" i="10" s="1"/>
  <c r="W45" i="10"/>
  <c r="AF41" i="10" s="1"/>
  <c r="V39" i="10"/>
  <c r="Q31" i="10"/>
  <c r="O33" i="10"/>
  <c r="Q44" i="10" s="1"/>
  <c r="Z40" i="10"/>
  <c r="AI38" i="10" s="1"/>
  <c r="U33" i="10"/>
  <c r="R48" i="10" s="1"/>
  <c r="AC44" i="10" s="1"/>
  <c r="AD65" i="10"/>
  <c r="AF67" i="10" s="1"/>
  <c r="AG66" i="10"/>
  <c r="R37" i="10"/>
  <c r="Q24" i="10"/>
  <c r="O26" i="10"/>
  <c r="O40" i="10" s="1"/>
  <c r="P71" i="10"/>
  <c r="R73" i="10" s="1"/>
  <c r="Q72" i="10"/>
  <c r="Z41" i="10"/>
  <c r="AI39" i="10" s="1"/>
  <c r="AK31" i="10"/>
  <c r="AI33" i="10"/>
  <c r="S48" i="10" s="1"/>
  <c r="AD44" i="10" s="1"/>
  <c r="AF31" i="10"/>
  <c r="X39" i="10"/>
  <c r="AG37" i="10" s="1"/>
  <c r="AD33" i="10"/>
  <c r="Q46" i="10" s="1"/>
  <c r="AB42" i="10" s="1"/>
  <c r="AF72" i="10"/>
  <c r="AE71" i="10"/>
  <c r="AG73" i="10" s="1"/>
  <c r="Y39" i="10"/>
  <c r="AH37" i="10" s="1"/>
  <c r="T32" i="10"/>
  <c r="Q47" i="10" s="1"/>
  <c r="AB43" i="10" s="1"/>
  <c r="AI25" i="10"/>
  <c r="O45" i="10" s="1"/>
  <c r="W37" i="10"/>
  <c r="T41" i="10"/>
  <c r="AE39" i="10" s="1"/>
  <c r="AA26" i="10"/>
  <c r="T24" i="10"/>
  <c r="W25" i="10"/>
  <c r="X42" i="10"/>
  <c r="AG40" i="10" s="1"/>
  <c r="Z33" i="10"/>
  <c r="T46" i="10" s="1"/>
  <c r="AE42" i="10" s="1"/>
  <c r="X38" i="10"/>
  <c r="AJ26" i="10"/>
  <c r="P46" i="10" s="1"/>
  <c r="X41" i="10"/>
  <c r="AG39" i="10" s="1"/>
  <c r="AA31" i="10"/>
  <c r="Y33" i="10"/>
  <c r="S46" i="10" s="1"/>
  <c r="AD42" i="10" s="1"/>
  <c r="Y32" i="10"/>
  <c r="S45" i="10" s="1"/>
  <c r="AD41" i="10" s="1"/>
  <c r="W41" i="10"/>
  <c r="AF39" i="10" s="1"/>
  <c r="Z45" i="10"/>
  <c r="AI41" i="10" s="1"/>
  <c r="AF24" i="10"/>
  <c r="AD26" i="10"/>
  <c r="W48" i="10" s="1"/>
  <c r="AF44" i="10" s="1"/>
  <c r="AI71" i="10"/>
  <c r="AK73" i="10" s="1"/>
  <c r="AL72" i="10"/>
  <c r="V72" i="10"/>
  <c r="U71" i="10"/>
  <c r="W73" i="10" s="1"/>
  <c r="AJ65" i="10"/>
  <c r="AL67" i="10" s="1"/>
  <c r="AK66" i="10"/>
  <c r="X40" i="10"/>
  <c r="AG38" i="10" s="1"/>
  <c r="AE33" i="10"/>
  <c r="R46" i="10" s="1"/>
  <c r="AC42" i="10" s="1"/>
  <c r="AD24" i="10"/>
  <c r="AG25" i="10"/>
  <c r="V40" i="10"/>
  <c r="P33" i="10"/>
  <c r="R44" i="10" s="1"/>
  <c r="O31" i="10"/>
  <c r="R32" i="10"/>
  <c r="R38" i="10"/>
  <c r="P26" i="10"/>
  <c r="P40" i="10" s="1"/>
  <c r="W72" i="10"/>
  <c r="T71" i="10"/>
  <c r="V73" i="10" s="1"/>
  <c r="AK24" i="10"/>
  <c r="X37" i="10"/>
  <c r="AI26" i="10"/>
  <c r="O46" i="10" s="1"/>
  <c r="U43" i="10"/>
  <c r="W43" i="10"/>
  <c r="T25" i="10"/>
  <c r="U45" i="10" s="1"/>
  <c r="Y71" i="10"/>
  <c r="AA73" i="10" s="1"/>
  <c r="AB72" i="10"/>
  <c r="AD71" i="10"/>
  <c r="AF73" i="10" s="1"/>
  <c r="AG72" i="10"/>
  <c r="Y31" i="10"/>
  <c r="AB32" i="10"/>
  <c r="AA33" i="10" s="1"/>
  <c r="T42" i="10"/>
  <c r="AE40" i="10" s="1"/>
  <c r="Y45" i="10"/>
  <c r="AH41" i="10" s="1"/>
  <c r="AD25" i="10"/>
  <c r="W47" i="10" s="1"/>
  <c r="AF43" i="10" s="1"/>
  <c r="O71" i="10"/>
  <c r="Q73" i="10" s="1"/>
  <c r="R72" i="10"/>
  <c r="AD31" i="10"/>
  <c r="AG32" i="10"/>
  <c r="AF33" i="10" s="1"/>
  <c r="P38" i="10"/>
  <c r="R26" i="10"/>
  <c r="R40" i="10" s="1"/>
  <c r="AC38" i="10" s="1"/>
  <c r="T31" i="10"/>
  <c r="W32" i="10"/>
  <c r="V33" i="10" s="1"/>
  <c r="Z48" i="10"/>
  <c r="AI44" i="10" s="1"/>
  <c r="AI24" i="10"/>
  <c r="AL25" i="10"/>
  <c r="AK26" i="10" s="1"/>
  <c r="U39" i="10"/>
  <c r="O32" i="10"/>
  <c r="Q43" i="10" s="1"/>
  <c r="X43" i="10"/>
  <c r="V24" i="10"/>
  <c r="T26" i="10"/>
  <c r="U46" i="10" s="1"/>
  <c r="V66" i="10"/>
  <c r="U65" i="10"/>
  <c r="W67" i="10" s="1"/>
  <c r="AI65" i="10"/>
  <c r="AK67" i="10" s="1"/>
  <c r="AL66" i="10"/>
  <c r="P37" i="10"/>
  <c r="R25" i="10"/>
  <c r="O24" i="10"/>
  <c r="AA72" i="10"/>
  <c r="Z71" i="10"/>
  <c r="AB73" i="10" s="1"/>
  <c r="Y47" i="10"/>
  <c r="AH43" i="10" s="1"/>
  <c r="AF66" i="10"/>
  <c r="AE65" i="10"/>
  <c r="AG67" i="10" s="1"/>
  <c r="Z42" i="10"/>
  <c r="AI40" i="10" s="1"/>
  <c r="AJ33" i="10"/>
  <c r="T48" i="10" s="1"/>
  <c r="AE44" i="10" s="1"/>
  <c r="Q39" i="10"/>
  <c r="AB37" i="10" s="1"/>
  <c r="AD32" i="10"/>
  <c r="Q45" i="10" s="1"/>
  <c r="AB41" i="10" s="1"/>
  <c r="W39" i="10"/>
  <c r="AF37" i="10" s="1"/>
  <c r="O65" i="10"/>
  <c r="R66" i="10"/>
  <c r="Z39" i="10"/>
  <c r="AI37" i="10" s="1"/>
  <c r="T33" i="10"/>
  <c r="Q48" i="10" s="1"/>
  <c r="AB44" i="10" s="1"/>
  <c r="V31" i="10"/>
  <c r="Z46" i="10"/>
  <c r="AI42" i="10" s="1"/>
  <c r="AE26" i="10"/>
  <c r="X48" i="10" s="1"/>
  <c r="AG44" i="10" s="1"/>
  <c r="S40" i="10" l="1"/>
  <c r="AD38" i="10" s="1"/>
  <c r="W44" i="10"/>
  <c r="U25" i="10"/>
  <c r="V45" i="10" s="1"/>
  <c r="V43" i="10"/>
  <c r="Q33" i="10"/>
  <c r="U44" i="10" s="1"/>
  <c r="AE25" i="10"/>
  <c r="X47" i="10" s="1"/>
  <c r="AG43" i="10" s="1"/>
  <c r="Y46" i="10"/>
  <c r="AH42" i="10" s="1"/>
  <c r="W42" i="10"/>
  <c r="AF40" i="10" s="1"/>
  <c r="Z32" i="10"/>
  <c r="T45" i="10" s="1"/>
  <c r="AE41" i="10" s="1"/>
  <c r="S42" i="10"/>
  <c r="AD40" i="10" s="1"/>
  <c r="Y42" i="10"/>
  <c r="AH40" i="10" s="1"/>
  <c r="AJ32" i="10"/>
  <c r="T47" i="10" s="1"/>
  <c r="AE43" i="10" s="1"/>
  <c r="Y40" i="10"/>
  <c r="AH38" i="10" s="1"/>
  <c r="U32" i="10"/>
  <c r="R47" i="10" s="1"/>
  <c r="AC43" i="10" s="1"/>
  <c r="Q67" i="10"/>
  <c r="R39" i="10"/>
  <c r="AC37" i="10" s="1"/>
  <c r="Q26" i="10"/>
  <c r="Q40" i="10" s="1"/>
  <c r="AB38" i="10" s="1"/>
  <c r="Q38" i="10"/>
  <c r="P25" i="10"/>
  <c r="P39" i="10" s="1"/>
  <c r="U40" i="10"/>
  <c r="P32" i="10"/>
  <c r="R43" i="10" s="1"/>
  <c r="Z47" i="10"/>
  <c r="AI43" i="10" s="1"/>
  <c r="AF26" i="10"/>
  <c r="Y48" i="10" s="1"/>
  <c r="AH44" i="10" s="1"/>
  <c r="O38" i="10"/>
  <c r="W38" i="10"/>
  <c r="AJ25" i="10"/>
  <c r="P45" i="10" s="1"/>
  <c r="X45" i="10"/>
  <c r="AG41" i="10" s="1"/>
  <c r="V26" i="10"/>
  <c r="W46" i="10" s="1"/>
  <c r="AF42" i="10" s="1"/>
  <c r="W40" i="10"/>
  <c r="AF38" i="10" s="1"/>
  <c r="AE32" i="10"/>
  <c r="R45" i="10" s="1"/>
  <c r="AC41" i="10" s="1"/>
  <c r="O52" i="10" l="1" a="1"/>
  <c r="S59" i="10" s="1"/>
  <c r="P52" i="10" l="1"/>
  <c r="T53" i="10"/>
  <c r="U57" i="10"/>
  <c r="O52" i="10"/>
  <c r="R57" i="10"/>
  <c r="T55" i="10"/>
  <c r="T52" i="10"/>
  <c r="O54" i="10"/>
  <c r="Q56" i="10"/>
  <c r="R52" i="10"/>
  <c r="Q55" i="10"/>
  <c r="O56" i="10"/>
  <c r="R55" i="10"/>
  <c r="P55" i="10"/>
  <c r="V57" i="10"/>
  <c r="O58" i="10"/>
  <c r="T58" i="10"/>
  <c r="U52" i="10"/>
  <c r="U53" i="10"/>
  <c r="Q59" i="10"/>
  <c r="O59" i="10"/>
  <c r="R53" i="10"/>
  <c r="U58" i="10"/>
  <c r="V58" i="10"/>
  <c r="U56" i="10"/>
  <c r="T57" i="10"/>
  <c r="V56" i="10"/>
  <c r="P53" i="10"/>
  <c r="U55" i="10"/>
  <c r="R58" i="10"/>
  <c r="Q53" i="10"/>
  <c r="V55" i="10"/>
  <c r="S52" i="10"/>
  <c r="S54" i="10"/>
  <c r="S56" i="10"/>
  <c r="S58" i="10"/>
  <c r="U54" i="10"/>
  <c r="V54" i="10"/>
  <c r="P58" i="10"/>
  <c r="V52" i="10"/>
  <c r="Q58" i="10"/>
  <c r="R56" i="10"/>
  <c r="P59" i="10"/>
  <c r="V53" i="10"/>
  <c r="T56" i="10"/>
  <c r="O53" i="10"/>
  <c r="O55" i="10"/>
  <c r="O57" i="10"/>
  <c r="P56" i="10"/>
  <c r="Q52" i="10"/>
  <c r="P54" i="10"/>
  <c r="R59" i="10"/>
  <c r="Q54" i="10"/>
  <c r="T59" i="10"/>
  <c r="R54" i="10"/>
  <c r="P57" i="10"/>
  <c r="U59" i="10"/>
  <c r="T54" i="10"/>
  <c r="Q57" i="10"/>
  <c r="V59" i="10"/>
  <c r="S53" i="10"/>
  <c r="S55" i="10"/>
  <c r="S57" i="10"/>
  <c r="Z52" i="10" l="1" a="1"/>
  <c r="Z55" i="10" s="1"/>
  <c r="AB53" i="10" s="1"/>
  <c r="V78" i="10" s="1"/>
  <c r="Z54" i="10" l="1"/>
  <c r="AB52" i="10" s="1"/>
  <c r="V77" i="10" s="1"/>
  <c r="X78" i="10"/>
  <c r="Z53" i="10"/>
  <c r="AB51" i="10" s="1"/>
  <c r="W78" i="10" s="1"/>
  <c r="Z57" i="10"/>
  <c r="AB57" i="10" s="1"/>
  <c r="P80" i="10" s="1"/>
  <c r="Q80" i="10"/>
  <c r="Z58" i="10"/>
  <c r="AB58" i="10" s="1"/>
  <c r="X79" i="10" s="1"/>
  <c r="Z56" i="10"/>
  <c r="AB56" i="10" s="1"/>
  <c r="P79" i="10" s="1"/>
  <c r="Z52" i="10"/>
  <c r="AB50" i="10" s="1"/>
  <c r="W77" i="10" s="1"/>
  <c r="Z59" i="10"/>
  <c r="AB59" i="10" s="1"/>
  <c r="U94" i="10" l="1"/>
  <c r="X77" i="10"/>
  <c r="Q79" i="10"/>
  <c r="R79" i="10"/>
  <c r="U79" i="10"/>
  <c r="U97" i="10"/>
  <c r="P84" i="10" a="1"/>
  <c r="P87" i="10" s="1"/>
  <c r="S80" i="10"/>
  <c r="O80" i="10"/>
  <c r="U78" i="10"/>
  <c r="T77" i="10"/>
  <c r="V80" i="10"/>
  <c r="W80" i="10"/>
  <c r="Q77" i="10"/>
  <c r="P105" i="10"/>
  <c r="Q105" i="10" s="1"/>
  <c r="R105" i="10" s="1"/>
  <c r="R78" i="10"/>
  <c r="S79" i="10"/>
  <c r="V79" i="10"/>
  <c r="U77" i="10"/>
  <c r="O79" i="10"/>
  <c r="R77" i="10"/>
  <c r="W79" i="10"/>
  <c r="U93" i="10"/>
  <c r="U96" i="10"/>
  <c r="Q78" i="10"/>
  <c r="T78" i="10"/>
  <c r="P106" i="10"/>
  <c r="Q106" i="10" s="1"/>
  <c r="R106" i="10" s="1"/>
  <c r="R80" i="10"/>
  <c r="X80" i="10"/>
  <c r="U80" i="10"/>
  <c r="X84" i="10" l="1" a="1"/>
  <c r="X86" i="10" s="1"/>
  <c r="O84" i="10" a="1"/>
  <c r="O85" i="10" s="1"/>
  <c r="S84" i="10" a="1"/>
  <c r="S84" i="10" s="1"/>
  <c r="P85" i="10"/>
  <c r="V84" i="10" a="1"/>
  <c r="V86" i="10" s="1"/>
  <c r="T84" i="10" a="1"/>
  <c r="T85" i="10" s="1"/>
  <c r="P84" i="10"/>
  <c r="P86" i="10"/>
  <c r="U84" i="10" a="1"/>
  <c r="U87" i="10" s="1"/>
  <c r="W84" i="10" a="1"/>
  <c r="W84" i="10" s="1"/>
  <c r="Q84" i="10" a="1"/>
  <c r="R84" i="10" a="1"/>
  <c r="R107" i="10"/>
  <c r="X85" i="10" l="1"/>
  <c r="X84" i="10"/>
  <c r="X87" i="10"/>
  <c r="O84" i="10"/>
  <c r="O86" i="10"/>
  <c r="O87" i="10"/>
  <c r="S85" i="10"/>
  <c r="S87" i="10"/>
  <c r="S86" i="10"/>
  <c r="V84" i="10"/>
  <c r="V87" i="10"/>
  <c r="V85" i="10"/>
  <c r="T84" i="10"/>
  <c r="T87" i="10"/>
  <c r="T86" i="10"/>
  <c r="P93" i="10"/>
  <c r="Q93" i="10" s="1"/>
  <c r="R93" i="10" s="1"/>
  <c r="W85" i="10"/>
  <c r="W86" i="10"/>
  <c r="W87" i="10"/>
  <c r="U85" i="10"/>
  <c r="U86" i="10"/>
  <c r="U84" i="10"/>
  <c r="Q84" i="10"/>
  <c r="Q86" i="10"/>
  <c r="Q87" i="10"/>
  <c r="Q85" i="10"/>
  <c r="R87" i="10"/>
  <c r="R84" i="10"/>
  <c r="R85" i="10"/>
  <c r="R86" i="10"/>
  <c r="P101" i="10" l="1"/>
  <c r="Q101" i="10" s="1"/>
  <c r="R101" i="10" s="1"/>
  <c r="P92" i="10"/>
  <c r="Q92" i="10" s="1"/>
  <c r="R92" i="10" s="1"/>
  <c r="P96" i="10"/>
  <c r="Q96" i="10" s="1"/>
  <c r="R96" i="10" s="1"/>
  <c r="P99" i="10"/>
  <c r="Q99" i="10" s="1"/>
  <c r="R99" i="10" s="1"/>
  <c r="P97" i="10"/>
  <c r="Q97" i="10" s="1"/>
  <c r="R97" i="10" s="1"/>
  <c r="P100" i="10"/>
  <c r="Q100" i="10" s="1"/>
  <c r="R100" i="10" s="1"/>
  <c r="P98" i="10"/>
  <c r="Q98" i="10" s="1"/>
  <c r="R98" i="10" s="1"/>
  <c r="P94" i="10"/>
  <c r="Q94" i="10" s="1"/>
  <c r="R94" i="10" s="1"/>
  <c r="P95" i="10"/>
  <c r="Q95" i="10" s="1"/>
  <c r="R95" i="10" s="1"/>
  <c r="R102" i="10" l="1"/>
  <c r="Q109" i="10" s="1"/>
  <c r="J2" i="10" s="1"/>
</calcChain>
</file>

<file path=xl/sharedStrings.xml><?xml version="1.0" encoding="utf-8"?>
<sst xmlns="http://schemas.openxmlformats.org/spreadsheetml/2006/main" count="212" uniqueCount="108">
  <si>
    <t>Particles</t>
  </si>
  <si>
    <t>Iterations</t>
  </si>
  <si>
    <t>Max Velocity</t>
  </si>
  <si>
    <t>Design Variables</t>
  </si>
  <si>
    <t>Value</t>
  </si>
  <si>
    <t>Lower Limit</t>
  </si>
  <si>
    <t>Upper Limit</t>
  </si>
  <si>
    <t>Seeding</t>
  </si>
  <si>
    <t>Velocity Inertia</t>
  </si>
  <si>
    <t>Local Inertia</t>
  </si>
  <si>
    <t>Global Inertia</t>
  </si>
  <si>
    <t>Parameter</t>
  </si>
  <si>
    <t>Truss Element</t>
  </si>
  <si>
    <t>Area (m^2)</t>
  </si>
  <si>
    <t>Truss Mass (kg)</t>
  </si>
  <si>
    <t>Weight (kg)</t>
  </si>
  <si>
    <t>Structure Parameters</t>
  </si>
  <si>
    <t>Node 1</t>
  </si>
  <si>
    <t>Node 2</t>
  </si>
  <si>
    <t>Node 3</t>
  </si>
  <si>
    <t>Node 4</t>
  </si>
  <si>
    <t>Node 5</t>
  </si>
  <si>
    <t>Node 6</t>
  </si>
  <si>
    <t>x1</t>
  </si>
  <si>
    <t>Young's Modulus (Pa)</t>
  </si>
  <si>
    <t>x (m)</t>
  </si>
  <si>
    <t>x2</t>
  </si>
  <si>
    <t>Material Density (kg/m^3)</t>
  </si>
  <si>
    <t>y (m)</t>
  </si>
  <si>
    <t>x3</t>
  </si>
  <si>
    <t>Max Stress (Pa)</t>
  </si>
  <si>
    <t>Fx (N)</t>
  </si>
  <si>
    <t>x4</t>
  </si>
  <si>
    <t>Max Node Displacement (m)</t>
  </si>
  <si>
    <t>Fy (N)</t>
  </si>
  <si>
    <t>x5</t>
  </si>
  <si>
    <t>x6</t>
  </si>
  <si>
    <t>Element</t>
  </si>
  <si>
    <t>Length (m)</t>
  </si>
  <si>
    <t>C</t>
  </si>
  <si>
    <t>S</t>
  </si>
  <si>
    <t>k (N/m)</t>
  </si>
  <si>
    <t>x7</t>
  </si>
  <si>
    <t>x8</t>
  </si>
  <si>
    <t>x9</t>
  </si>
  <si>
    <t>x10</t>
  </si>
  <si>
    <t>Matrices</t>
  </si>
  <si>
    <t>Element 1</t>
  </si>
  <si>
    <t>Element 2</t>
  </si>
  <si>
    <t>Element 3</t>
  </si>
  <si>
    <t>Element 4</t>
  </si>
  <si>
    <t>Element 5</t>
  </si>
  <si>
    <t>U1</t>
  </si>
  <si>
    <t>V1</t>
  </si>
  <si>
    <t>U2</t>
  </si>
  <si>
    <t>V2</t>
  </si>
  <si>
    <t>U4</t>
  </si>
  <si>
    <t>V4</t>
  </si>
  <si>
    <t>U5</t>
  </si>
  <si>
    <t>V5</t>
  </si>
  <si>
    <t>U3</t>
  </si>
  <si>
    <t>V3</t>
  </si>
  <si>
    <t>U6</t>
  </si>
  <si>
    <t>V6</t>
  </si>
  <si>
    <t>Element 6</t>
  </si>
  <si>
    <t>Element 7</t>
  </si>
  <si>
    <t>Element 8</t>
  </si>
  <si>
    <t>Element 9</t>
  </si>
  <si>
    <t>Element 10</t>
  </si>
  <si>
    <t>Global Stiffness Matrix</t>
  </si>
  <si>
    <t>k_bb</t>
  </si>
  <si>
    <t>Global U</t>
  </si>
  <si>
    <t>Inverse k_bb</t>
  </si>
  <si>
    <t>P_bb</t>
  </si>
  <si>
    <t>U_bb</t>
  </si>
  <si>
    <t>X</t>
  </si>
  <si>
    <t>=</t>
  </si>
  <si>
    <t>Transformation Matrices</t>
  </si>
  <si>
    <t>Global Displacements</t>
  </si>
  <si>
    <t>[D][B]</t>
  </si>
  <si>
    <t>U7</t>
  </si>
  <si>
    <t>U8</t>
  </si>
  <si>
    <t>U9</t>
  </si>
  <si>
    <t>U10</t>
  </si>
  <si>
    <t>Local Displacements</t>
  </si>
  <si>
    <t>u1</t>
  </si>
  <si>
    <t>u2</t>
  </si>
  <si>
    <t>u3</t>
  </si>
  <si>
    <t>u4</t>
  </si>
  <si>
    <t>u5</t>
  </si>
  <si>
    <t>u6</t>
  </si>
  <si>
    <t>u7</t>
  </si>
  <si>
    <t>u8</t>
  </si>
  <si>
    <t>u9</t>
  </si>
  <si>
    <t>u10</t>
  </si>
  <si>
    <t>Outputs</t>
  </si>
  <si>
    <t>Stress (Pa)</t>
  </si>
  <si>
    <t>Absolute Stress (Pa)</t>
  </si>
  <si>
    <t>Check</t>
  </si>
  <si>
    <t>Displacement (m)</t>
  </si>
  <si>
    <t>Absolute Displacement (m)</t>
  </si>
  <si>
    <t>Total Violation</t>
  </si>
  <si>
    <t>x11</t>
  </si>
  <si>
    <t>x12</t>
  </si>
  <si>
    <t>x13</t>
  </si>
  <si>
    <t>x14</t>
  </si>
  <si>
    <t>y2</t>
  </si>
  <si>
    <t>y3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</si>
</sst>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0"/>
    <numFmt numFmtId="165" formatCode="0.0"/>
    <numFmt numFmtId="166" formatCode="0.000E+00"/>
    <numFmt numFmtId="167" formatCode="0.0000E+00"/>
    <numFmt numFmtId="168" formatCode="0.000"/>
  </numFmts>
  <fonts count="6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b/>
      <sz val="72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92D05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5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42">
    <xf numFmtId="0" fontId="0" fillId="0" borderId="0" xfId="0"/>
    <xf numFmtId="0" fontId="0" fillId="0" borderId="0" xfId="0" applyFill="1"/>
    <xf numFmtId="0" fontId="3" fillId="0" borderId="0" xfId="0" applyFont="1" applyAlignment="1">
      <alignment horizontal="center"/>
    </xf>
    <xf numFmtId="0" fontId="3" fillId="0" borderId="0" xfId="0" applyFont="1" applyBorder="1" applyAlignment="1">
      <alignment horizontal="center"/>
    </xf>
    <xf numFmtId="164" fontId="0" fillId="0" borderId="0" xfId="0" applyNumberFormat="1"/>
    <xf numFmtId="165" fontId="0" fillId="0" borderId="0" xfId="0" applyNumberFormat="1"/>
    <xf numFmtId="0" fontId="0" fillId="2" borderId="1" xfId="0" applyFill="1" applyBorder="1" applyAlignment="1">
      <alignment horizontal="center"/>
    </xf>
    <xf numFmtId="11" fontId="0" fillId="2" borderId="1" xfId="0" applyNumberForma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0" fillId="0" borderId="0" xfId="0" applyNumberFormat="1" applyFill="1" applyBorder="1" applyAlignment="1">
      <alignment horizontal="center"/>
    </xf>
    <xf numFmtId="0" fontId="3" fillId="0" borderId="0" xfId="0" applyFont="1"/>
    <xf numFmtId="0" fontId="0" fillId="0" borderId="0" xfId="0" applyAlignment="1">
      <alignment horizontal="center"/>
    </xf>
    <xf numFmtId="0" fontId="3" fillId="4" borderId="2" xfId="0" applyFont="1" applyFill="1" applyBorder="1" applyAlignment="1">
      <alignment horizontal="center"/>
    </xf>
    <xf numFmtId="0" fontId="0" fillId="0" borderId="2" xfId="0" applyBorder="1"/>
    <xf numFmtId="166" fontId="0" fillId="5" borderId="2" xfId="0" applyNumberFormat="1" applyFill="1" applyBorder="1" applyAlignment="1">
      <alignment horizontal="center"/>
    </xf>
    <xf numFmtId="166" fontId="0" fillId="2" borderId="2" xfId="0" applyNumberFormat="1" applyFill="1" applyBorder="1" applyAlignment="1">
      <alignment horizontal="center"/>
    </xf>
    <xf numFmtId="166" fontId="0" fillId="0" borderId="2" xfId="0" applyNumberFormat="1" applyFill="1" applyBorder="1"/>
    <xf numFmtId="167" fontId="0" fillId="3" borderId="3" xfId="0" applyNumberFormat="1" applyFill="1" applyBorder="1"/>
    <xf numFmtId="0" fontId="0" fillId="2" borderId="2" xfId="0" applyNumberFormat="1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11" fontId="0" fillId="2" borderId="2" xfId="0" applyNumberForma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0" fontId="0" fillId="7" borderId="2" xfId="0" applyFill="1" applyBorder="1"/>
    <xf numFmtId="167" fontId="3" fillId="3" borderId="4" xfId="0" applyNumberFormat="1" applyFont="1" applyFill="1" applyBorder="1"/>
    <xf numFmtId="0" fontId="0" fillId="0" borderId="0" xfId="0" applyFill="1" applyAlignment="1">
      <alignment horizontal="right"/>
    </xf>
    <xf numFmtId="0" fontId="0" fillId="0" borderId="0" xfId="0" applyFill="1" applyAlignment="1">
      <alignment horizontal="left"/>
    </xf>
    <xf numFmtId="0" fontId="0" fillId="3" borderId="2" xfId="0" applyFont="1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7" borderId="2" xfId="0" applyNumberFormat="1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166" fontId="0" fillId="7" borderId="2" xfId="0" applyNumberFormat="1" applyFill="1" applyBorder="1" applyAlignment="1">
      <alignment horizontal="center"/>
    </xf>
    <xf numFmtId="0" fontId="0" fillId="7" borderId="8" xfId="0" applyNumberFormat="1" applyFill="1" applyBorder="1" applyAlignment="1">
      <alignment horizontal="center"/>
    </xf>
    <xf numFmtId="0" fontId="0" fillId="7" borderId="4" xfId="0" applyNumberFormat="1" applyFill="1" applyBorder="1" applyAlignment="1">
      <alignment horizontal="center"/>
    </xf>
    <xf numFmtId="2" fontId="0" fillId="0" borderId="0" xfId="0" applyNumberFormat="1"/>
    <xf numFmtId="1" fontId="0" fillId="0" borderId="0" xfId="0" applyNumberFormat="1"/>
    <xf numFmtId="0" fontId="0" fillId="3" borderId="2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5" fillId="0" borderId="5" xfId="0" applyFont="1" applyBorder="1" applyAlignment="1">
      <alignment horizontal="center" vertical="center"/>
    </xf>
    <xf numFmtId="168" fontId="0" fillId="0" borderId="0" xfId="0" applyNumberFormat="1"/>
  </cellXfs>
  <cellStyles count="5">
    <cellStyle name="Followed Hyperlink" xfId="2" builtinId="9" hidden="1"/>
    <cellStyle name="Followed Hyperlink" xfId="4" builtinId="9" hidden="1"/>
    <cellStyle name="Hyperlink" xfId="1" builtinId="8" hidden="1"/>
    <cellStyle name="Hyperlink" xfId="3" builtinId="8" hidden="1"/>
    <cellStyle name="Normal" xfId="0" builtinId="0"/>
  </cellStyles>
  <dxfs count="0"/>
  <tableStyles count="0" defaultTableStyle="TableStyleMedium9" defaultPivotStyle="PivotStyleMedium7"/>
  <colors>
    <mruColors>
      <color rgb="FFFF4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431800</xdr:colOff>
          <xdr:row>11</xdr:row>
          <xdr:rowOff>12700</xdr:rowOff>
        </xdr:from>
        <xdr:to>
          <xdr:col>2</xdr:col>
          <xdr:colOff>0</xdr:colOff>
          <xdr:row>12</xdr:row>
          <xdr:rowOff>190500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0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Create Variables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431800</xdr:colOff>
          <xdr:row>13</xdr:row>
          <xdr:rowOff>38100</xdr:rowOff>
        </xdr:from>
        <xdr:to>
          <xdr:col>2</xdr:col>
          <xdr:colOff>0</xdr:colOff>
          <xdr:row>15</xdr:row>
          <xdr:rowOff>12700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0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PSO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15</xdr:row>
          <xdr:rowOff>63500</xdr:rowOff>
        </xdr:from>
        <xdr:to>
          <xdr:col>1</xdr:col>
          <xdr:colOff>812800</xdr:colOff>
          <xdr:row>17</xdr:row>
          <xdr:rowOff>38100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0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Plot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431800</xdr:colOff>
          <xdr:row>17</xdr:row>
          <xdr:rowOff>76200</xdr:rowOff>
        </xdr:from>
        <xdr:to>
          <xdr:col>2</xdr:col>
          <xdr:colOff>0</xdr:colOff>
          <xdr:row>19</xdr:row>
          <xdr:rowOff>50800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0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Delete Graphs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5C56A-8DB1-3640-9D32-6D3ACACFF4A7}">
  <sheetPr codeName="Sheet8"/>
  <dimension ref="A1:AL109"/>
  <sheetViews>
    <sheetView tabSelected="1" zoomScaleNormal="100" workbookViewId="0">
      <selection activeCell="B3" sqref="B3"/>
    </sheetView>
  </sheetViews>
  <sheetFormatPr baseColWidth="10" defaultRowHeight="16"/>
  <cols>
    <col min="1" max="1" width="14.83203125" bestFit="1" customWidth="1"/>
    <col min="5" max="5" width="14.83203125" bestFit="1" customWidth="1"/>
    <col min="9" max="9" width="14.1640625" bestFit="1" customWidth="1"/>
    <col min="10" max="10" width="16.6640625" bestFit="1" customWidth="1"/>
    <col min="12" max="12" width="25.1640625" bestFit="1" customWidth="1"/>
    <col min="15" max="15" width="12.83203125" bestFit="1" customWidth="1"/>
    <col min="16" max="16" width="15.83203125" bestFit="1" customWidth="1"/>
    <col min="17" max="17" width="23.83203125" bestFit="1" customWidth="1"/>
    <col min="18" max="18" width="12.83203125" bestFit="1" customWidth="1"/>
    <col min="19" max="19" width="15.83203125" bestFit="1" customWidth="1"/>
    <col min="20" max="20" width="12.83203125" bestFit="1" customWidth="1"/>
    <col min="21" max="21" width="15.83203125" bestFit="1" customWidth="1"/>
    <col min="22" max="23" width="12.83203125" bestFit="1" customWidth="1"/>
    <col min="24" max="25" width="15.83203125" bestFit="1" customWidth="1"/>
    <col min="26" max="26" width="12.83203125" bestFit="1" customWidth="1"/>
    <col min="27" max="29" width="11.83203125" bestFit="1" customWidth="1"/>
    <col min="30" max="31" width="11.1640625" bestFit="1" customWidth="1"/>
    <col min="32" max="33" width="11.83203125" bestFit="1" customWidth="1"/>
    <col min="35" max="36" width="11.1640625" bestFit="1" customWidth="1"/>
    <col min="37" max="38" width="11.83203125" bestFit="1" customWidth="1"/>
  </cols>
  <sheetData>
    <row r="1" spans="1:21">
      <c r="A1" s="2" t="s">
        <v>11</v>
      </c>
      <c r="B1" s="2" t="s">
        <v>4</v>
      </c>
      <c r="D1" s="1"/>
      <c r="E1" s="2" t="s">
        <v>12</v>
      </c>
      <c r="F1" s="3" t="s">
        <v>13</v>
      </c>
      <c r="G1" s="3" t="s">
        <v>5</v>
      </c>
      <c r="H1" s="3" t="s">
        <v>6</v>
      </c>
      <c r="I1" s="8" t="s">
        <v>14</v>
      </c>
      <c r="J1" s="2" t="s">
        <v>15</v>
      </c>
      <c r="L1" s="10" t="s">
        <v>16</v>
      </c>
      <c r="M1" s="10"/>
      <c r="O1" s="11"/>
      <c r="P1" s="12" t="s">
        <v>17</v>
      </c>
      <c r="Q1" s="12" t="s">
        <v>18</v>
      </c>
      <c r="R1" s="12" t="s">
        <v>19</v>
      </c>
      <c r="S1" s="12" t="s">
        <v>20</v>
      </c>
      <c r="T1" s="12" t="s">
        <v>21</v>
      </c>
      <c r="U1" s="12" t="s">
        <v>22</v>
      </c>
    </row>
    <row r="2" spans="1:21">
      <c r="A2" t="s">
        <v>3</v>
      </c>
      <c r="B2" s="6">
        <v>14</v>
      </c>
      <c r="E2" s="13" t="s">
        <v>23</v>
      </c>
      <c r="F2" s="14">
        <v>7.41934E-3</v>
      </c>
      <c r="G2" s="15">
        <v>7.41934E-3</v>
      </c>
      <c r="H2" s="15">
        <v>8.0645000000000005E-3</v>
      </c>
      <c r="I2" s="16">
        <f>ABS(F2*P8)</f>
        <v>8.1914172058133991E-2</v>
      </c>
      <c r="J2" s="17">
        <f>I12*(1+Q109)</f>
        <v>921.58478663759024</v>
      </c>
      <c r="L2" t="s">
        <v>24</v>
      </c>
      <c r="M2" s="15">
        <v>70000000000</v>
      </c>
      <c r="O2" s="12" t="s">
        <v>25</v>
      </c>
      <c r="P2" s="18">
        <v>0</v>
      </c>
      <c r="Q2" s="15">
        <f>F12</f>
        <v>10.940859268563566</v>
      </c>
      <c r="R2" s="15">
        <f>F14</f>
        <v>14.5</v>
      </c>
      <c r="S2" s="18">
        <v>0</v>
      </c>
      <c r="T2" s="18">
        <v>9.1440000000000001</v>
      </c>
      <c r="U2" s="18">
        <v>18.288</v>
      </c>
    </row>
    <row r="3" spans="1:21">
      <c r="A3" t="s">
        <v>0</v>
      </c>
      <c r="B3" s="6">
        <v>70</v>
      </c>
      <c r="E3" s="13" t="s">
        <v>26</v>
      </c>
      <c r="F3" s="14">
        <v>5.1612799999999999E-3</v>
      </c>
      <c r="G3" s="15">
        <v>5.1612799999999999E-3</v>
      </c>
      <c r="H3" s="15">
        <v>5.8064400000000004E-3</v>
      </c>
      <c r="I3" s="16">
        <f t="shared" ref="I3:I11" si="0">ABS(F3*P9)</f>
        <v>4.7194744320000002E-2</v>
      </c>
      <c r="L3" t="s">
        <v>27</v>
      </c>
      <c r="M3" s="15">
        <v>2767.9904710189999</v>
      </c>
      <c r="O3" s="12" t="s">
        <v>28</v>
      </c>
      <c r="P3" s="18">
        <v>9.1440000000000001</v>
      </c>
      <c r="Q3" s="15">
        <f>F13</f>
        <v>7.6631007938234061</v>
      </c>
      <c r="R3" s="15">
        <f>F15</f>
        <v>3.8409373177529282</v>
      </c>
      <c r="S3" s="18">
        <v>0</v>
      </c>
      <c r="T3" s="18">
        <v>0</v>
      </c>
      <c r="U3" s="18">
        <v>0</v>
      </c>
    </row>
    <row r="4" spans="1:21">
      <c r="A4" t="s">
        <v>1</v>
      </c>
      <c r="B4" s="6">
        <v>500</v>
      </c>
      <c r="E4" s="13" t="s">
        <v>29</v>
      </c>
      <c r="F4" s="14">
        <v>6.4517174476177002E-5</v>
      </c>
      <c r="G4" s="15">
        <v>6.4516000000000004E-5</v>
      </c>
      <c r="H4" s="15">
        <v>6.4515999999999998E-4</v>
      </c>
      <c r="I4" s="16">
        <f t="shared" si="0"/>
        <v>3.3695274210197504E-4</v>
      </c>
      <c r="L4" t="s">
        <v>30</v>
      </c>
      <c r="M4" s="15">
        <v>172368932.33000001</v>
      </c>
      <c r="O4" s="12" t="s">
        <v>31</v>
      </c>
      <c r="P4" s="19"/>
      <c r="Q4" s="20">
        <v>0</v>
      </c>
      <c r="R4" s="20">
        <v>0</v>
      </c>
      <c r="S4" s="19"/>
      <c r="T4" s="20">
        <v>0</v>
      </c>
      <c r="U4" s="20">
        <v>0</v>
      </c>
    </row>
    <row r="5" spans="1:21">
      <c r="A5" t="s">
        <v>7</v>
      </c>
      <c r="B5" s="6"/>
      <c r="E5" s="13" t="s">
        <v>32</v>
      </c>
      <c r="F5" s="14">
        <v>3.5483799999999999E-3</v>
      </c>
      <c r="G5" s="15">
        <v>3.5483799999999999E-3</v>
      </c>
      <c r="H5" s="15">
        <v>4.1935399999999999E-3</v>
      </c>
      <c r="I5" s="16">
        <f t="shared" si="0"/>
        <v>3.2446386719999998E-2</v>
      </c>
      <c r="L5" t="s">
        <v>33</v>
      </c>
      <c r="M5" s="15">
        <v>0.127</v>
      </c>
      <c r="O5" s="12" t="s">
        <v>34</v>
      </c>
      <c r="P5" s="19"/>
      <c r="Q5" s="20">
        <v>0</v>
      </c>
      <c r="R5" s="20">
        <v>0</v>
      </c>
      <c r="S5" s="19"/>
      <c r="T5" s="21">
        <v>-444822.16</v>
      </c>
      <c r="U5" s="21">
        <v>-444822.16</v>
      </c>
    </row>
    <row r="6" spans="1:21">
      <c r="A6" t="s">
        <v>2</v>
      </c>
      <c r="B6" s="7">
        <v>5.0000000000000001E-4</v>
      </c>
      <c r="E6" s="13" t="s">
        <v>35</v>
      </c>
      <c r="F6" s="14">
        <v>3.5596996514515897E-3</v>
      </c>
      <c r="G6" s="15">
        <v>3.5483799999999999E-3</v>
      </c>
      <c r="H6" s="15">
        <v>3.8709600000000001E-3</v>
      </c>
      <c r="I6" s="16">
        <f t="shared" si="0"/>
        <v>4.6032501001126852E-2</v>
      </c>
    </row>
    <row r="7" spans="1:21">
      <c r="A7" t="s">
        <v>8</v>
      </c>
      <c r="B7" s="6">
        <v>0.8</v>
      </c>
      <c r="E7" s="13" t="s">
        <v>36</v>
      </c>
      <c r="F7" s="14">
        <v>5.1612799999999999E-3</v>
      </c>
      <c r="G7" s="15">
        <v>5.1612799999999999E-3</v>
      </c>
      <c r="H7" s="15">
        <v>5.8064400000000004E-3</v>
      </c>
      <c r="I7" s="16">
        <f t="shared" si="0"/>
        <v>6.8942320982680314E-2</v>
      </c>
      <c r="O7" s="12" t="s">
        <v>37</v>
      </c>
      <c r="P7" s="12" t="s">
        <v>38</v>
      </c>
      <c r="Q7" s="12" t="s">
        <v>39</v>
      </c>
      <c r="R7" s="12" t="s">
        <v>40</v>
      </c>
      <c r="S7" s="12" t="s">
        <v>41</v>
      </c>
    </row>
    <row r="8" spans="1:21">
      <c r="A8" t="s">
        <v>9</v>
      </c>
      <c r="B8" s="6">
        <v>1</v>
      </c>
      <c r="E8" s="13" t="s">
        <v>42</v>
      </c>
      <c r="F8" s="14">
        <v>5.1612799999999999E-3</v>
      </c>
      <c r="G8" s="15">
        <v>5.1612799999999999E-3</v>
      </c>
      <c r="H8" s="15">
        <v>5.8064400000000004E-3</v>
      </c>
      <c r="I8" s="16">
        <f t="shared" si="0"/>
        <v>5.4793153574595424E-2</v>
      </c>
      <c r="O8" s="22">
        <v>1</v>
      </c>
      <c r="P8" s="23">
        <f>SQRT((Q2-P2)^2+(Q3-P3)^2)</f>
        <v>11.04062788039556</v>
      </c>
      <c r="Q8" s="23">
        <f>(Q2-P2)/P8</f>
        <v>0.99096350199347361</v>
      </c>
      <c r="R8" s="23">
        <f>(Q3-P3)/P8</f>
        <v>-0.13413179234182621</v>
      </c>
      <c r="S8" s="24">
        <f>($M$2*F2)/P8</f>
        <v>47040241.336473048</v>
      </c>
    </row>
    <row r="9" spans="1:21">
      <c r="A9" t="s">
        <v>10</v>
      </c>
      <c r="B9" s="6">
        <v>1</v>
      </c>
      <c r="E9" s="13" t="s">
        <v>43</v>
      </c>
      <c r="F9" s="14">
        <v>6.4516000000000004E-5</v>
      </c>
      <c r="G9" s="15">
        <v>6.4516000000000004E-5</v>
      </c>
      <c r="H9" s="15">
        <v>6.4515999999999998E-4</v>
      </c>
      <c r="I9" s="16">
        <f t="shared" si="0"/>
        <v>4.2521641289803555E-4</v>
      </c>
      <c r="O9" s="22">
        <v>2</v>
      </c>
      <c r="P9" s="23">
        <f>SQRT((T2-S2)^2+(T3-S3)^2)</f>
        <v>9.1440000000000001</v>
      </c>
      <c r="Q9" s="23">
        <f>(T2-S2)/P9</f>
        <v>1</v>
      </c>
      <c r="R9" s="23">
        <f>(T3-S3)/P9</f>
        <v>0</v>
      </c>
      <c r="S9" s="24">
        <f t="shared" ref="S9:S17" si="1">($M$2*F3)/P9</f>
        <v>39511111.111111112</v>
      </c>
    </row>
    <row r="10" spans="1:21">
      <c r="E10" s="13" t="s">
        <v>44</v>
      </c>
      <c r="F10" s="14">
        <v>6.4516000000000004E-5</v>
      </c>
      <c r="G10" s="15">
        <v>6.4516000000000004E-5</v>
      </c>
      <c r="H10" s="15">
        <v>6.4515999999999998E-4</v>
      </c>
      <c r="I10" s="16">
        <f t="shared" si="0"/>
        <v>5.0780205899018385E-4</v>
      </c>
      <c r="O10" s="22">
        <v>3</v>
      </c>
      <c r="P10" s="23">
        <f>SQRT((R2-Q2)^2+(R3-Q3)^2)</f>
        <v>5.222682872238849</v>
      </c>
      <c r="Q10" s="23">
        <f>(R2-Q2)/P10</f>
        <v>0.68147747403064307</v>
      </c>
      <c r="R10" s="23">
        <f>(R3-Q3)/P10</f>
        <v>-0.73183908913695939</v>
      </c>
      <c r="S10" s="24">
        <f t="shared" si="1"/>
        <v>864728.40182164731</v>
      </c>
    </row>
    <row r="11" spans="1:21" ht="17" thickBot="1">
      <c r="E11" s="13" t="s">
        <v>45</v>
      </c>
      <c r="F11" s="14">
        <v>6.4949545832187301E-5</v>
      </c>
      <c r="G11" s="15">
        <v>6.4516000000000004E-5</v>
      </c>
      <c r="H11" s="15">
        <v>6.4515999999999998E-4</v>
      </c>
      <c r="I11" s="16">
        <f t="shared" si="0"/>
        <v>3.5037702654150263E-4</v>
      </c>
      <c r="O11" s="22">
        <v>4</v>
      </c>
      <c r="P11" s="23">
        <f>SQRT((U2-T2)^2+(U3-T3)^2)</f>
        <v>9.1440000000000001</v>
      </c>
      <c r="Q11" s="23">
        <f>(U2-T2)/P11</f>
        <v>1</v>
      </c>
      <c r="R11" s="23">
        <f>(U3-T3)/P11</f>
        <v>0</v>
      </c>
      <c r="S11" s="24">
        <f t="shared" si="1"/>
        <v>27163888.888888888</v>
      </c>
    </row>
    <row r="12" spans="1:21" ht="17" thickBot="1">
      <c r="D12" t="s">
        <v>26</v>
      </c>
      <c r="E12" s="13" t="s">
        <v>102</v>
      </c>
      <c r="F12" s="14">
        <v>10.940859268563566</v>
      </c>
      <c r="G12" s="15">
        <v>4.5999999999999996</v>
      </c>
      <c r="H12" s="15">
        <v>14</v>
      </c>
      <c r="I12" s="25">
        <f>(SUM(I2:I11)*M3)</f>
        <v>921.58478663759024</v>
      </c>
      <c r="O12" s="22">
        <v>5</v>
      </c>
      <c r="P12" s="23">
        <f>SQRT((T2-P2)^2+(T3-P3)^2)</f>
        <v>12.931568814339581</v>
      </c>
      <c r="Q12" s="23">
        <f>(T2-P2)/P12</f>
        <v>0.70710678118654757</v>
      </c>
      <c r="R12" s="23">
        <f>(T3-P3)/P12</f>
        <v>-0.70710678118654757</v>
      </c>
      <c r="S12" s="24">
        <f t="shared" si="1"/>
        <v>19269044.551292282</v>
      </c>
    </row>
    <row r="13" spans="1:21">
      <c r="D13" t="s">
        <v>106</v>
      </c>
      <c r="E13" s="13" t="s">
        <v>103</v>
      </c>
      <c r="F13" s="14">
        <v>7.6631007938234061</v>
      </c>
      <c r="G13" s="15">
        <v>4.5999999999999996</v>
      </c>
      <c r="H13" s="15">
        <v>14</v>
      </c>
      <c r="O13" s="22">
        <v>6</v>
      </c>
      <c r="P13" s="23">
        <f>SQRT((S2-Q2)^2+(S3-Q3)^2)</f>
        <v>13.357601405597121</v>
      </c>
      <c r="Q13" s="23">
        <f>(S2-Q2)/P13</f>
        <v>-0.81907364476223343</v>
      </c>
      <c r="R13" s="23">
        <f>(S3-Q3)/P13</f>
        <v>-0.57368838619577334</v>
      </c>
      <c r="S13" s="24">
        <f t="shared" si="1"/>
        <v>27047490.715557054</v>
      </c>
    </row>
    <row r="14" spans="1:21">
      <c r="D14" t="s">
        <v>29</v>
      </c>
      <c r="E14" s="13" t="s">
        <v>104</v>
      </c>
      <c r="F14" s="14">
        <v>14.5</v>
      </c>
      <c r="G14" s="15">
        <v>14.5</v>
      </c>
      <c r="H14" s="15">
        <v>18.288</v>
      </c>
      <c r="O14" s="22">
        <v>7</v>
      </c>
      <c r="P14" s="23">
        <f>SQRT((U2-Q2)^2+(U3-Q3)^2)</f>
        <v>10.616194737467339</v>
      </c>
      <c r="Q14" s="23">
        <f>(U2-Q2)/P14</f>
        <v>0.69206913711807161</v>
      </c>
      <c r="R14" s="23">
        <f>(U3-Q3)/P14</f>
        <v>-0.72183121950262563</v>
      </c>
      <c r="S14" s="24">
        <f t="shared" si="1"/>
        <v>34031930.36059466</v>
      </c>
    </row>
    <row r="15" spans="1:21">
      <c r="D15" t="s">
        <v>107</v>
      </c>
      <c r="E15" s="13" t="s">
        <v>105</v>
      </c>
      <c r="F15" s="14">
        <v>3.8409373177529282</v>
      </c>
      <c r="G15" s="15">
        <v>0.14399999999999999</v>
      </c>
      <c r="H15" s="15">
        <v>14.5</v>
      </c>
      <c r="O15" s="22">
        <v>8</v>
      </c>
      <c r="P15" s="23">
        <f>SQRT((T2-R2)^2+(T3-R3)^2)</f>
        <v>6.590867581654714</v>
      </c>
      <c r="Q15" s="23">
        <f>(T2-R2)/P15</f>
        <v>-0.81263960072693708</v>
      </c>
      <c r="R15" s="23">
        <f>(T3-R3)/P15</f>
        <v>-0.58276657362134654</v>
      </c>
      <c r="S15" s="24">
        <f t="shared" si="1"/>
        <v>685208.72920741874</v>
      </c>
    </row>
    <row r="16" spans="1:21">
      <c r="O16" s="22">
        <v>9</v>
      </c>
      <c r="P16" s="23">
        <f>SQRT((T2-Q2)^2+(T3-Q3)^2)</f>
        <v>7.8709476562431613</v>
      </c>
      <c r="Q16" s="23">
        <f>(T2-Q2)/P16</f>
        <v>-0.2282900798023112</v>
      </c>
      <c r="R16" s="23">
        <f>(T3-Q3)/P16</f>
        <v>-0.97359315910900601</v>
      </c>
      <c r="S16" s="24">
        <f t="shared" si="1"/>
        <v>573770.80845123599</v>
      </c>
    </row>
    <row r="17" spans="15:38">
      <c r="O17" s="22">
        <v>10</v>
      </c>
      <c r="P17" s="23">
        <f>SQRT((U2-R2)^2+(U3-R3)^2)</f>
        <v>5.3946031808564996</v>
      </c>
      <c r="Q17" s="23">
        <f>(U2-R2)/P17</f>
        <v>0.70218325111330626</v>
      </c>
      <c r="R17" s="23">
        <f>(U3-R3)/P17</f>
        <v>-0.71199626533848293</v>
      </c>
      <c r="S17" s="24">
        <f t="shared" si="1"/>
        <v>842780.84148744924</v>
      </c>
    </row>
    <row r="19" spans="15:38">
      <c r="O19" s="38" t="s">
        <v>46</v>
      </c>
      <c r="P19" s="38"/>
      <c r="Q19" s="38"/>
      <c r="R19" s="38"/>
      <c r="S19" s="38"/>
      <c r="T19" s="38"/>
      <c r="U19" s="38"/>
      <c r="V19" s="38"/>
      <c r="W19" s="38"/>
      <c r="X19" s="38"/>
      <c r="Y19" s="38"/>
      <c r="Z19" s="38"/>
      <c r="AA19" s="38"/>
      <c r="AB19" s="38"/>
      <c r="AC19" s="38"/>
      <c r="AD19" s="38"/>
      <c r="AE19" s="38"/>
      <c r="AF19" s="38"/>
      <c r="AG19" s="38"/>
      <c r="AH19" s="38"/>
      <c r="AI19" s="38"/>
      <c r="AJ19" s="38"/>
      <c r="AK19" s="38"/>
      <c r="AL19" s="38"/>
    </row>
    <row r="21" spans="15:38">
      <c r="O21" s="39" t="s">
        <v>47</v>
      </c>
      <c r="P21" s="39"/>
      <c r="Q21" s="39"/>
      <c r="R21" s="39"/>
      <c r="T21" s="39" t="s">
        <v>48</v>
      </c>
      <c r="U21" s="39"/>
      <c r="V21" s="39"/>
      <c r="W21" s="39"/>
      <c r="Y21" s="39" t="s">
        <v>49</v>
      </c>
      <c r="Z21" s="39"/>
      <c r="AA21" s="39"/>
      <c r="AB21" s="39"/>
      <c r="AD21" s="39" t="s">
        <v>50</v>
      </c>
      <c r="AE21" s="39"/>
      <c r="AF21" s="39"/>
      <c r="AG21" s="39"/>
      <c r="AI21" s="39" t="s">
        <v>51</v>
      </c>
      <c r="AJ21" s="39"/>
      <c r="AK21" s="39"/>
      <c r="AL21" s="39"/>
    </row>
    <row r="22" spans="15:38">
      <c r="O22" s="22" t="s">
        <v>52</v>
      </c>
      <c r="P22" s="22" t="s">
        <v>53</v>
      </c>
      <c r="Q22" s="22" t="s">
        <v>54</v>
      </c>
      <c r="R22" s="22" t="s">
        <v>55</v>
      </c>
      <c r="T22" s="22" t="s">
        <v>56</v>
      </c>
      <c r="U22" s="22" t="s">
        <v>57</v>
      </c>
      <c r="V22" s="22" t="s">
        <v>58</v>
      </c>
      <c r="W22" s="22" t="s">
        <v>59</v>
      </c>
      <c r="Y22" s="22" t="s">
        <v>54</v>
      </c>
      <c r="Z22" s="22" t="s">
        <v>55</v>
      </c>
      <c r="AA22" s="22" t="s">
        <v>60</v>
      </c>
      <c r="AB22" s="22" t="s">
        <v>61</v>
      </c>
      <c r="AD22" s="22" t="s">
        <v>58</v>
      </c>
      <c r="AE22" s="22" t="s">
        <v>59</v>
      </c>
      <c r="AF22" s="22" t="s">
        <v>62</v>
      </c>
      <c r="AG22" s="22" t="s">
        <v>63</v>
      </c>
      <c r="AI22" s="22" t="s">
        <v>52</v>
      </c>
      <c r="AJ22" s="22" t="s">
        <v>53</v>
      </c>
      <c r="AK22" s="22" t="s">
        <v>58</v>
      </c>
      <c r="AL22" s="22" t="s">
        <v>59</v>
      </c>
    </row>
    <row r="23" spans="15:38">
      <c r="O23" s="23">
        <f>$Q8^2*$S8</f>
        <v>46193924.468307339</v>
      </c>
      <c r="P23" s="23">
        <f>$Q8*$R8*$S8</f>
        <v>-6252575.268183602</v>
      </c>
      <c r="Q23" s="23">
        <f>-($Q8^2)*$S8</f>
        <v>-46193924.468307339</v>
      </c>
      <c r="R23" s="23">
        <f>-$Q8*$R8*$S8</f>
        <v>6252575.268183602</v>
      </c>
      <c r="T23" s="23">
        <f>$Q9^2*$S9</f>
        <v>39511111.111111112</v>
      </c>
      <c r="U23" s="23">
        <f>$Q9*$R9*$S9</f>
        <v>0</v>
      </c>
      <c r="V23" s="23">
        <f>-($Q9^2)*$S9</f>
        <v>-39511111.111111112</v>
      </c>
      <c r="W23" s="23">
        <f>-$Q9*$R9*$S9</f>
        <v>0</v>
      </c>
      <c r="Y23" s="23">
        <f>$Q10^2*$S10</f>
        <v>401589.85535333859</v>
      </c>
      <c r="Z23" s="23">
        <f>$Q10*$R10*$S10</f>
        <v>-431267.59892758424</v>
      </c>
      <c r="AA23" s="23">
        <f>-($Q10^2)*$S10</f>
        <v>-401589.85535333859</v>
      </c>
      <c r="AB23" s="23">
        <f>-$Q10*$R10*$S10</f>
        <v>431267.59892758424</v>
      </c>
      <c r="AD23" s="23">
        <f>$Q11^2*$S11</f>
        <v>27163888.888888888</v>
      </c>
      <c r="AE23" s="23">
        <f>$Q11*$R11*$S11</f>
        <v>0</v>
      </c>
      <c r="AF23" s="23">
        <f>-($Q11^2)*$S11</f>
        <v>-27163888.888888888</v>
      </c>
      <c r="AG23" s="23">
        <f>-$Q11*$R11*$S11</f>
        <v>0</v>
      </c>
      <c r="AI23" s="23">
        <f>$Q12^2*$S12</f>
        <v>9634522.2756461427</v>
      </c>
      <c r="AJ23" s="23">
        <f>$Q12*$R12*$S12</f>
        <v>-9634522.2756461427</v>
      </c>
      <c r="AK23" s="23">
        <f>-($Q12^2)*$S12</f>
        <v>-9634522.2756461427</v>
      </c>
      <c r="AL23" s="23">
        <f>-$Q12*$R12*$S12</f>
        <v>9634522.2756461427</v>
      </c>
    </row>
    <row r="24" spans="15:38">
      <c r="O24" s="23">
        <f>P23</f>
        <v>-6252575.268183602</v>
      </c>
      <c r="P24" s="23">
        <f>$R8^2*$S8</f>
        <v>846316.86816571024</v>
      </c>
      <c r="Q24" s="23">
        <f>R23</f>
        <v>6252575.268183602</v>
      </c>
      <c r="R24" s="23">
        <f>-($R8^2)*$S8</f>
        <v>-846316.86816571024</v>
      </c>
      <c r="T24" s="23">
        <f>U23</f>
        <v>0</v>
      </c>
      <c r="U24" s="23">
        <f>$R9^2*$S9</f>
        <v>0</v>
      </c>
      <c r="V24" s="23">
        <f>W23</f>
        <v>0</v>
      </c>
      <c r="W24" s="23">
        <f>-($R9^2)*$S9</f>
        <v>0</v>
      </c>
      <c r="Y24" s="23">
        <f>Z23</f>
        <v>-431267.59892758424</v>
      </c>
      <c r="Z24" s="23">
        <f>$R10^2*$S10</f>
        <v>463138.54646830889</v>
      </c>
      <c r="AA24" s="23">
        <f>AB23</f>
        <v>431267.59892758424</v>
      </c>
      <c r="AB24" s="23">
        <f>-($R10^2)*$S10</f>
        <v>-463138.54646830889</v>
      </c>
      <c r="AD24" s="23">
        <f>AE23</f>
        <v>0</v>
      </c>
      <c r="AE24" s="23">
        <f>$R11^2*$S11</f>
        <v>0</v>
      </c>
      <c r="AF24" s="23">
        <f>AG23</f>
        <v>0</v>
      </c>
      <c r="AG24" s="23">
        <f>-($R11^2)*$S11</f>
        <v>0</v>
      </c>
      <c r="AI24" s="23">
        <f>AJ23</f>
        <v>-9634522.2756461427</v>
      </c>
      <c r="AJ24" s="23">
        <f>$R12^2*$S12</f>
        <v>9634522.2756461427</v>
      </c>
      <c r="AK24" s="23">
        <f>AL23</f>
        <v>9634522.2756461427</v>
      </c>
      <c r="AL24" s="23">
        <f>-($R12^2)*$S12</f>
        <v>-9634522.2756461427</v>
      </c>
    </row>
    <row r="25" spans="15:38">
      <c r="O25" s="23">
        <f>Q23</f>
        <v>-46193924.468307339</v>
      </c>
      <c r="P25" s="23">
        <f>Q24</f>
        <v>6252575.268183602</v>
      </c>
      <c r="Q25" s="23">
        <f>O23</f>
        <v>46193924.468307339</v>
      </c>
      <c r="R25" s="23">
        <f>P23</f>
        <v>-6252575.268183602</v>
      </c>
      <c r="T25" s="23">
        <f>V23</f>
        <v>-39511111.111111112</v>
      </c>
      <c r="U25" s="23">
        <f>V24</f>
        <v>0</v>
      </c>
      <c r="V25" s="23">
        <f>T23</f>
        <v>39511111.111111112</v>
      </c>
      <c r="W25" s="23">
        <f>U23</f>
        <v>0</v>
      </c>
      <c r="Y25" s="23">
        <f>AA23</f>
        <v>-401589.85535333859</v>
      </c>
      <c r="Z25" s="23">
        <f>AA24</f>
        <v>431267.59892758424</v>
      </c>
      <c r="AA25" s="23">
        <f>Y23</f>
        <v>401589.85535333859</v>
      </c>
      <c r="AB25" s="23">
        <f>Z23</f>
        <v>-431267.59892758424</v>
      </c>
      <c r="AD25" s="23">
        <f>AF23</f>
        <v>-27163888.888888888</v>
      </c>
      <c r="AE25" s="23">
        <f>AF24</f>
        <v>0</v>
      </c>
      <c r="AF25" s="23">
        <f>AD23</f>
        <v>27163888.888888888</v>
      </c>
      <c r="AG25" s="23">
        <f>AE23</f>
        <v>0</v>
      </c>
      <c r="AI25" s="23">
        <f>AK23</f>
        <v>-9634522.2756461427</v>
      </c>
      <c r="AJ25" s="23">
        <f>AK24</f>
        <v>9634522.2756461427</v>
      </c>
      <c r="AK25" s="23">
        <f>AI23</f>
        <v>9634522.2756461427</v>
      </c>
      <c r="AL25" s="23">
        <f>AJ23</f>
        <v>-9634522.2756461427</v>
      </c>
    </row>
    <row r="26" spans="15:38">
      <c r="O26" s="23">
        <f>R23</f>
        <v>6252575.268183602</v>
      </c>
      <c r="P26" s="23">
        <f>R24</f>
        <v>-846316.86816571024</v>
      </c>
      <c r="Q26" s="23">
        <f>R25</f>
        <v>-6252575.268183602</v>
      </c>
      <c r="R26" s="23">
        <f>P24</f>
        <v>846316.86816571024</v>
      </c>
      <c r="T26" s="23">
        <f>W23</f>
        <v>0</v>
      </c>
      <c r="U26" s="23">
        <f>W24</f>
        <v>0</v>
      </c>
      <c r="V26" s="23">
        <f>W25</f>
        <v>0</v>
      </c>
      <c r="W26" s="23">
        <f>U24</f>
        <v>0</v>
      </c>
      <c r="Y26" s="23">
        <f>AB23</f>
        <v>431267.59892758424</v>
      </c>
      <c r="Z26" s="23">
        <f>AB24</f>
        <v>-463138.54646830889</v>
      </c>
      <c r="AA26" s="23">
        <f>AB25</f>
        <v>-431267.59892758424</v>
      </c>
      <c r="AB26" s="23">
        <f>Z24</f>
        <v>463138.54646830889</v>
      </c>
      <c r="AD26" s="23">
        <f>AG23</f>
        <v>0</v>
      </c>
      <c r="AE26" s="23">
        <f>AG24</f>
        <v>0</v>
      </c>
      <c r="AF26" s="23">
        <f>AG25</f>
        <v>0</v>
      </c>
      <c r="AG26" s="23">
        <f>AE24</f>
        <v>0</v>
      </c>
      <c r="AI26" s="23">
        <f>AL23</f>
        <v>9634522.2756461427</v>
      </c>
      <c r="AJ26" s="23">
        <f>AL24</f>
        <v>-9634522.2756461427</v>
      </c>
      <c r="AK26" s="23">
        <f>AL25</f>
        <v>-9634522.2756461427</v>
      </c>
      <c r="AL26" s="23">
        <f>AJ24</f>
        <v>9634522.2756461427</v>
      </c>
    </row>
    <row r="28" spans="15:38">
      <c r="O28" s="39" t="s">
        <v>64</v>
      </c>
      <c r="P28" s="39"/>
      <c r="Q28" s="39"/>
      <c r="R28" s="39"/>
      <c r="T28" s="39" t="s">
        <v>65</v>
      </c>
      <c r="U28" s="39"/>
      <c r="V28" s="39"/>
      <c r="W28" s="39"/>
      <c r="Y28" s="39" t="s">
        <v>66</v>
      </c>
      <c r="Z28" s="39"/>
      <c r="AA28" s="39"/>
      <c r="AB28" s="39"/>
      <c r="AD28" s="39" t="s">
        <v>67</v>
      </c>
      <c r="AE28" s="39"/>
      <c r="AF28" s="39"/>
      <c r="AG28" s="39"/>
      <c r="AI28" s="39" t="s">
        <v>68</v>
      </c>
      <c r="AJ28" s="39"/>
      <c r="AK28" s="39"/>
      <c r="AL28" s="39"/>
    </row>
    <row r="29" spans="15:38">
      <c r="O29" s="22" t="s">
        <v>54</v>
      </c>
      <c r="P29" s="22" t="s">
        <v>55</v>
      </c>
      <c r="Q29" s="22" t="s">
        <v>56</v>
      </c>
      <c r="R29" s="22" t="s">
        <v>57</v>
      </c>
      <c r="T29" s="22" t="s">
        <v>54</v>
      </c>
      <c r="U29" s="22" t="s">
        <v>55</v>
      </c>
      <c r="V29" s="22" t="s">
        <v>62</v>
      </c>
      <c r="W29" s="22" t="s">
        <v>63</v>
      </c>
      <c r="Y29" s="22" t="s">
        <v>60</v>
      </c>
      <c r="Z29" s="22" t="s">
        <v>61</v>
      </c>
      <c r="AA29" s="22" t="s">
        <v>58</v>
      </c>
      <c r="AB29" s="22" t="s">
        <v>59</v>
      </c>
      <c r="AD29" s="22" t="s">
        <v>54</v>
      </c>
      <c r="AE29" s="22" t="s">
        <v>55</v>
      </c>
      <c r="AF29" s="22" t="s">
        <v>58</v>
      </c>
      <c r="AG29" s="22" t="s">
        <v>59</v>
      </c>
      <c r="AI29" s="22" t="s">
        <v>60</v>
      </c>
      <c r="AJ29" s="22" t="s">
        <v>61</v>
      </c>
      <c r="AK29" s="22" t="s">
        <v>62</v>
      </c>
      <c r="AL29" s="22" t="s">
        <v>63</v>
      </c>
    </row>
    <row r="30" spans="15:38">
      <c r="O30" s="23">
        <f>$Q13^2*$S13</f>
        <v>18145664.808616489</v>
      </c>
      <c r="P30" s="23">
        <f>$Q13*$R13*$S13</f>
        <v>12709427.567439931</v>
      </c>
      <c r="Q30" s="23">
        <f>-($Q13^2)*$S13</f>
        <v>-18145664.808616489</v>
      </c>
      <c r="R30" s="23">
        <f>-$Q13*$R13*$S13</f>
        <v>-12709427.567439931</v>
      </c>
      <c r="T30" s="23">
        <f>$Q14^2*$S14</f>
        <v>16299922.834375586</v>
      </c>
      <c r="U30" s="23">
        <f>$Q14*$R14*$S14</f>
        <v>-17000892.752321508</v>
      </c>
      <c r="V30" s="23">
        <f>-($Q14^2)*$S14</f>
        <v>-16299922.834375586</v>
      </c>
      <c r="W30" s="23">
        <f>-$Q14*$R14*$S14</f>
        <v>17000892.752321508</v>
      </c>
      <c r="Y30" s="23">
        <f>$Q15^2*$S15</f>
        <v>452500.2789040705</v>
      </c>
      <c r="Z30" s="23">
        <f>$Q15*$R15*$S15</f>
        <v>324500.59886785893</v>
      </c>
      <c r="AA30" s="23">
        <f>-($Q15^2)*$S15</f>
        <v>-452500.2789040705</v>
      </c>
      <c r="AB30" s="23">
        <f>-$Q15*$R15*$S15</f>
        <v>-324500.59886785893</v>
      </c>
      <c r="AD30" s="23">
        <f>$Q16^2*$S16</f>
        <v>29902.84631836036</v>
      </c>
      <c r="AE30" s="23">
        <f>$Q16*$R16*$S16</f>
        <v>127527.25233901659</v>
      </c>
      <c r="AF30" s="23">
        <f>-($Q16^2)*$S16</f>
        <v>-29902.84631836036</v>
      </c>
      <c r="AG30" s="23">
        <f>-$Q16*$R16*$S16</f>
        <v>-127527.25233901659</v>
      </c>
      <c r="AI30" s="23">
        <f>$Q17^2*$S17</f>
        <v>415542.6326103555</v>
      </c>
      <c r="AJ30" s="23">
        <f>$Q17*$R17*$S17</f>
        <v>-421349.8428485769</v>
      </c>
      <c r="AK30" s="23">
        <f>-($Q17^2)*$S17</f>
        <v>-415542.6326103555</v>
      </c>
      <c r="AL30" s="23">
        <f>-$Q17*$R17*$S17</f>
        <v>421349.8428485769</v>
      </c>
    </row>
    <row r="31" spans="15:38">
      <c r="O31" s="23">
        <f>P30</f>
        <v>12709427.567439931</v>
      </c>
      <c r="P31" s="23">
        <f>$R13^2*$S13</f>
        <v>8901825.9069405682</v>
      </c>
      <c r="Q31" s="23">
        <f>R30</f>
        <v>-12709427.567439931</v>
      </c>
      <c r="R31" s="23">
        <f>-($R13^2)*$S13</f>
        <v>-8901825.9069405682</v>
      </c>
      <c r="T31" s="23">
        <f>U30</f>
        <v>-17000892.752321508</v>
      </c>
      <c r="U31" s="23">
        <f>$R14^2*$S14</f>
        <v>17732007.52621907</v>
      </c>
      <c r="V31" s="23">
        <f>W30</f>
        <v>17000892.752321508</v>
      </c>
      <c r="W31" s="23">
        <f>-($R14^2)*$S14</f>
        <v>-17732007.52621907</v>
      </c>
      <c r="Y31" s="23">
        <f>Z30</f>
        <v>324500.59886785893</v>
      </c>
      <c r="Z31" s="23">
        <f>$R15^2*$S15</f>
        <v>232708.45030334822</v>
      </c>
      <c r="AA31" s="23">
        <f>AB30</f>
        <v>-324500.59886785893</v>
      </c>
      <c r="AB31" s="23">
        <f>-($R15^2)*$S15</f>
        <v>-232708.45030334822</v>
      </c>
      <c r="AD31" s="23">
        <f>AE30</f>
        <v>127527.25233901659</v>
      </c>
      <c r="AE31" s="23">
        <f>$R16^2*$S16</f>
        <v>543867.96213287557</v>
      </c>
      <c r="AF31" s="23">
        <f>AG30</f>
        <v>-127527.25233901659</v>
      </c>
      <c r="AG31" s="23">
        <f>-($R16^2)*$S16</f>
        <v>-543867.96213287557</v>
      </c>
      <c r="AI31" s="23">
        <f>AJ30</f>
        <v>-421349.8428485769</v>
      </c>
      <c r="AJ31" s="23">
        <f>$R17^2*$S17</f>
        <v>427238.20887709362</v>
      </c>
      <c r="AK31" s="23">
        <f>AL30</f>
        <v>421349.8428485769</v>
      </c>
      <c r="AL31" s="23">
        <f>-($R17^2)*$S17</f>
        <v>-427238.20887709362</v>
      </c>
    </row>
    <row r="32" spans="15:38">
      <c r="O32" s="23">
        <f>Q30</f>
        <v>-18145664.808616489</v>
      </c>
      <c r="P32" s="23">
        <f>Q31</f>
        <v>-12709427.567439931</v>
      </c>
      <c r="Q32" s="23">
        <f>O30</f>
        <v>18145664.808616489</v>
      </c>
      <c r="R32" s="23">
        <f>P30</f>
        <v>12709427.567439931</v>
      </c>
      <c r="T32" s="23">
        <f>V30</f>
        <v>-16299922.834375586</v>
      </c>
      <c r="U32" s="23">
        <f>V31</f>
        <v>17000892.752321508</v>
      </c>
      <c r="V32" s="23">
        <f>T30</f>
        <v>16299922.834375586</v>
      </c>
      <c r="W32" s="23">
        <f>U30</f>
        <v>-17000892.752321508</v>
      </c>
      <c r="Y32" s="23">
        <f>AA30</f>
        <v>-452500.2789040705</v>
      </c>
      <c r="Z32" s="23">
        <f>AA31</f>
        <v>-324500.59886785893</v>
      </c>
      <c r="AA32" s="23">
        <f>Y30</f>
        <v>452500.2789040705</v>
      </c>
      <c r="AB32" s="23">
        <f>Z30</f>
        <v>324500.59886785893</v>
      </c>
      <c r="AD32" s="23">
        <f>AF30</f>
        <v>-29902.84631836036</v>
      </c>
      <c r="AE32" s="23">
        <f>AF31</f>
        <v>-127527.25233901659</v>
      </c>
      <c r="AF32" s="23">
        <f>AD30</f>
        <v>29902.84631836036</v>
      </c>
      <c r="AG32" s="23">
        <f>AE30</f>
        <v>127527.25233901659</v>
      </c>
      <c r="AI32" s="23">
        <f>AK30</f>
        <v>-415542.6326103555</v>
      </c>
      <c r="AJ32" s="23">
        <f>AK31</f>
        <v>421349.8428485769</v>
      </c>
      <c r="AK32" s="23">
        <f>AI30</f>
        <v>415542.6326103555</v>
      </c>
      <c r="AL32" s="23">
        <f>AJ30</f>
        <v>-421349.8428485769</v>
      </c>
    </row>
    <row r="33" spans="14:38">
      <c r="O33" s="23">
        <f>R30</f>
        <v>-12709427.567439931</v>
      </c>
      <c r="P33" s="23">
        <f>R31</f>
        <v>-8901825.9069405682</v>
      </c>
      <c r="Q33" s="23">
        <f>R32</f>
        <v>12709427.567439931</v>
      </c>
      <c r="R33" s="23">
        <f>P31</f>
        <v>8901825.9069405682</v>
      </c>
      <c r="T33" s="23">
        <f>W30</f>
        <v>17000892.752321508</v>
      </c>
      <c r="U33" s="23">
        <f>W31</f>
        <v>-17732007.52621907</v>
      </c>
      <c r="V33" s="23">
        <f>W32</f>
        <v>-17000892.752321508</v>
      </c>
      <c r="W33" s="23">
        <f>U31</f>
        <v>17732007.52621907</v>
      </c>
      <c r="Y33" s="23">
        <f>AB30</f>
        <v>-324500.59886785893</v>
      </c>
      <c r="Z33" s="23">
        <f>AB31</f>
        <v>-232708.45030334822</v>
      </c>
      <c r="AA33" s="23">
        <f>AB32</f>
        <v>324500.59886785893</v>
      </c>
      <c r="AB33" s="23">
        <f>Z31</f>
        <v>232708.45030334822</v>
      </c>
      <c r="AD33" s="23">
        <f>AG30</f>
        <v>-127527.25233901659</v>
      </c>
      <c r="AE33" s="23">
        <f>AG31</f>
        <v>-543867.96213287557</v>
      </c>
      <c r="AF33" s="23">
        <f>AG32</f>
        <v>127527.25233901659</v>
      </c>
      <c r="AG33" s="23">
        <f>AE31</f>
        <v>543867.96213287557</v>
      </c>
      <c r="AI33" s="23">
        <f>AL30</f>
        <v>421349.8428485769</v>
      </c>
      <c r="AJ33" s="23">
        <f>AL31</f>
        <v>-427238.20887709362</v>
      </c>
      <c r="AK33" s="23">
        <f>AL32</f>
        <v>-421349.8428485769</v>
      </c>
      <c r="AL33" s="23">
        <f>AJ31</f>
        <v>427238.20887709362</v>
      </c>
    </row>
    <row r="35" spans="14:38">
      <c r="O35" s="39" t="s">
        <v>69</v>
      </c>
      <c r="P35" s="39"/>
      <c r="Q35" s="39"/>
      <c r="R35" s="39"/>
      <c r="S35" s="39"/>
      <c r="T35" s="39"/>
      <c r="U35" s="39"/>
      <c r="V35" s="39"/>
      <c r="W35" s="39"/>
      <c r="X35" s="39"/>
      <c r="Y35" s="39"/>
      <c r="Z35" s="39"/>
      <c r="AB35" s="39" t="s">
        <v>70</v>
      </c>
      <c r="AC35" s="39"/>
      <c r="AD35" s="39"/>
      <c r="AE35" s="39"/>
      <c r="AF35" s="39"/>
      <c r="AG35" s="39"/>
      <c r="AH35" s="39"/>
      <c r="AI35" s="39"/>
    </row>
    <row r="36" spans="14:38">
      <c r="O36" s="22" t="s">
        <v>52</v>
      </c>
      <c r="P36" s="22" t="s">
        <v>53</v>
      </c>
      <c r="Q36" s="22" t="s">
        <v>54</v>
      </c>
      <c r="R36" s="22" t="s">
        <v>55</v>
      </c>
      <c r="S36" s="22" t="s">
        <v>60</v>
      </c>
      <c r="T36" s="22" t="s">
        <v>61</v>
      </c>
      <c r="U36" s="22" t="s">
        <v>56</v>
      </c>
      <c r="V36" s="22" t="s">
        <v>57</v>
      </c>
      <c r="W36" s="22" t="s">
        <v>58</v>
      </c>
      <c r="X36" s="22" t="s">
        <v>59</v>
      </c>
      <c r="Y36" s="22" t="s">
        <v>62</v>
      </c>
      <c r="Z36" s="22" t="s">
        <v>63</v>
      </c>
      <c r="AB36" s="22" t="s">
        <v>54</v>
      </c>
      <c r="AC36" s="22" t="s">
        <v>55</v>
      </c>
      <c r="AD36" s="22" t="s">
        <v>60</v>
      </c>
      <c r="AE36" s="22" t="s">
        <v>61</v>
      </c>
      <c r="AF36" s="22" t="s">
        <v>58</v>
      </c>
      <c r="AG36" s="22" t="s">
        <v>59</v>
      </c>
      <c r="AH36" s="22" t="s">
        <v>62</v>
      </c>
      <c r="AI36" s="22" t="s">
        <v>63</v>
      </c>
    </row>
    <row r="37" spans="14:38">
      <c r="N37" s="26"/>
      <c r="O37" s="23">
        <f>O23+AI23</f>
        <v>55828446.743953481</v>
      </c>
      <c r="P37" s="23">
        <f>P23+AJ23</f>
        <v>-15887097.543829745</v>
      </c>
      <c r="Q37" s="23">
        <f>Q23</f>
        <v>-46193924.468307339</v>
      </c>
      <c r="R37" s="23">
        <f>R23</f>
        <v>6252575.268183602</v>
      </c>
      <c r="S37" s="23">
        <v>0</v>
      </c>
      <c r="T37" s="23">
        <v>0</v>
      </c>
      <c r="U37" s="23">
        <v>0</v>
      </c>
      <c r="V37" s="23">
        <v>0</v>
      </c>
      <c r="W37" s="23">
        <f>AK23</f>
        <v>-9634522.2756461427</v>
      </c>
      <c r="X37" s="23">
        <f>AL23</f>
        <v>9634522.2756461427</v>
      </c>
      <c r="Y37" s="23">
        <v>0</v>
      </c>
      <c r="Z37" s="23">
        <v>0</v>
      </c>
      <c r="AA37" s="27"/>
      <c r="AB37" s="23">
        <f t="shared" ref="AB37:AE40" si="2">Q39</f>
        <v>81071004.812971115</v>
      </c>
      <c r="AC37" s="23">
        <f t="shared" si="2"/>
        <v>-10847780.799653746</v>
      </c>
      <c r="AD37" s="23">
        <f t="shared" si="2"/>
        <v>-401589.85535333859</v>
      </c>
      <c r="AE37" s="23">
        <f t="shared" si="2"/>
        <v>431267.59892758424</v>
      </c>
      <c r="AF37" s="23">
        <f t="shared" ref="AF37:AI40" si="3">W39</f>
        <v>-29902.84631836036</v>
      </c>
      <c r="AG37" s="23">
        <f t="shared" si="3"/>
        <v>-127527.25233901659</v>
      </c>
      <c r="AH37" s="23">
        <f t="shared" si="3"/>
        <v>-16299922.834375586</v>
      </c>
      <c r="AI37" s="23">
        <f t="shared" si="3"/>
        <v>17000892.752321508</v>
      </c>
    </row>
    <row r="38" spans="14:38">
      <c r="N38" s="26"/>
      <c r="O38" s="23">
        <f>O24+AI24</f>
        <v>-15887097.543829745</v>
      </c>
      <c r="P38" s="23">
        <f>P24+AJ24</f>
        <v>10480839.143811854</v>
      </c>
      <c r="Q38" s="23">
        <f>Q24</f>
        <v>6252575.268183602</v>
      </c>
      <c r="R38" s="23">
        <f>R24</f>
        <v>-846316.86816571024</v>
      </c>
      <c r="S38" s="23">
        <v>0</v>
      </c>
      <c r="T38" s="23">
        <v>0</v>
      </c>
      <c r="U38" s="23">
        <v>0</v>
      </c>
      <c r="V38" s="23">
        <v>0</v>
      </c>
      <c r="W38" s="23">
        <f>AK24</f>
        <v>9634522.2756461427</v>
      </c>
      <c r="X38" s="23">
        <f>AL24</f>
        <v>-9634522.2756461427</v>
      </c>
      <c r="Y38" s="23">
        <v>0</v>
      </c>
      <c r="Z38" s="23">
        <v>0</v>
      </c>
      <c r="AA38" s="27"/>
      <c r="AB38" s="23">
        <f t="shared" si="2"/>
        <v>-10847780.799653746</v>
      </c>
      <c r="AC38" s="23">
        <f t="shared" si="2"/>
        <v>28487156.809926536</v>
      </c>
      <c r="AD38" s="23">
        <f t="shared" si="2"/>
        <v>431267.59892758424</v>
      </c>
      <c r="AE38" s="23">
        <f t="shared" si="2"/>
        <v>-463138.54646830889</v>
      </c>
      <c r="AF38" s="23">
        <f t="shared" si="3"/>
        <v>-127527.25233901659</v>
      </c>
      <c r="AG38" s="23">
        <f t="shared" si="3"/>
        <v>-543867.96213287557</v>
      </c>
      <c r="AH38" s="23">
        <f t="shared" si="3"/>
        <v>17000892.752321508</v>
      </c>
      <c r="AI38" s="23">
        <f t="shared" si="3"/>
        <v>-17732007.52621907</v>
      </c>
    </row>
    <row r="39" spans="14:38">
      <c r="N39" s="26"/>
      <c r="O39" s="23">
        <f>O25</f>
        <v>-46193924.468307339</v>
      </c>
      <c r="P39" s="23">
        <f>P25</f>
        <v>6252575.268183602</v>
      </c>
      <c r="Q39" s="28">
        <f>Q25+T30+O30+Y23+AD30</f>
        <v>81071004.812971115</v>
      </c>
      <c r="R39" s="28">
        <f>R25+P30+U30+Z23+AE30</f>
        <v>-10847780.799653746</v>
      </c>
      <c r="S39" s="28">
        <f>AA23</f>
        <v>-401589.85535333859</v>
      </c>
      <c r="T39" s="28">
        <f>AB23</f>
        <v>431267.59892758424</v>
      </c>
      <c r="U39" s="23">
        <f>Q30</f>
        <v>-18145664.808616489</v>
      </c>
      <c r="V39" s="23">
        <f>R30</f>
        <v>-12709427.567439931</v>
      </c>
      <c r="W39" s="29">
        <f>AF30</f>
        <v>-29902.84631836036</v>
      </c>
      <c r="X39" s="29">
        <f>AG30</f>
        <v>-127527.25233901659</v>
      </c>
      <c r="Y39" s="29">
        <f>V30</f>
        <v>-16299922.834375586</v>
      </c>
      <c r="Z39" s="29">
        <f>W30</f>
        <v>17000892.752321508</v>
      </c>
      <c r="AA39" s="27"/>
      <c r="AB39" s="23">
        <f t="shared" si="2"/>
        <v>-401589.85535333859</v>
      </c>
      <c r="AC39" s="23">
        <f t="shared" si="2"/>
        <v>431267.59892758424</v>
      </c>
      <c r="AD39" s="23">
        <f t="shared" si="2"/>
        <v>1269632.7668677645</v>
      </c>
      <c r="AE39" s="23">
        <f t="shared" si="2"/>
        <v>-528116.84290830221</v>
      </c>
      <c r="AF39" s="23">
        <f t="shared" si="3"/>
        <v>-452500.2789040705</v>
      </c>
      <c r="AG39" s="23">
        <f t="shared" si="3"/>
        <v>-324500.59886785893</v>
      </c>
      <c r="AH39" s="23">
        <f t="shared" si="3"/>
        <v>-415542.6326103555</v>
      </c>
      <c r="AI39" s="23">
        <f t="shared" si="3"/>
        <v>421349.8428485769</v>
      </c>
    </row>
    <row r="40" spans="14:38">
      <c r="N40" s="26"/>
      <c r="O40" s="23">
        <f>O26</f>
        <v>6252575.268183602</v>
      </c>
      <c r="P40" s="23">
        <f>P26</f>
        <v>-846316.86816571024</v>
      </c>
      <c r="Q40" s="28">
        <f>Q26+O31+T31+Y24+AD31</f>
        <v>-10847780.799653746</v>
      </c>
      <c r="R40" s="28">
        <f>R26+P31+U31+Z24+AE31</f>
        <v>28487156.809926536</v>
      </c>
      <c r="S40" s="28">
        <f t="shared" ref="S40:T40" si="4">AA24</f>
        <v>431267.59892758424</v>
      </c>
      <c r="T40" s="28">
        <f t="shared" si="4"/>
        <v>-463138.54646830889</v>
      </c>
      <c r="U40" s="23">
        <f>Q31</f>
        <v>-12709427.567439931</v>
      </c>
      <c r="V40" s="23">
        <f>R31</f>
        <v>-8901825.9069405682</v>
      </c>
      <c r="W40" s="29">
        <f>AF31</f>
        <v>-127527.25233901659</v>
      </c>
      <c r="X40" s="29">
        <f>AG31</f>
        <v>-543867.96213287557</v>
      </c>
      <c r="Y40" s="29">
        <f>V31</f>
        <v>17000892.752321508</v>
      </c>
      <c r="Z40" s="29">
        <f>W31</f>
        <v>-17732007.52621907</v>
      </c>
      <c r="AA40" s="27"/>
      <c r="AB40" s="23">
        <f t="shared" si="2"/>
        <v>431267.59892758424</v>
      </c>
      <c r="AC40" s="23">
        <f t="shared" si="2"/>
        <v>-463138.54646830889</v>
      </c>
      <c r="AD40" s="23">
        <f t="shared" si="2"/>
        <v>-528116.84290830221</v>
      </c>
      <c r="AE40" s="23">
        <f t="shared" si="2"/>
        <v>1123085.2056487508</v>
      </c>
      <c r="AF40" s="23">
        <f t="shared" si="3"/>
        <v>-324500.59886785893</v>
      </c>
      <c r="AG40" s="23">
        <f t="shared" si="3"/>
        <v>-232708.45030334822</v>
      </c>
      <c r="AH40" s="23">
        <f t="shared" si="3"/>
        <v>421349.8428485769</v>
      </c>
      <c r="AI40" s="23">
        <f t="shared" si="3"/>
        <v>-427238.20887709362</v>
      </c>
    </row>
    <row r="41" spans="14:38">
      <c r="N41" s="26"/>
      <c r="O41" s="23">
        <v>0</v>
      </c>
      <c r="P41" s="23">
        <v>0</v>
      </c>
      <c r="Q41" s="28">
        <f>Y25</f>
        <v>-401589.85535333859</v>
      </c>
      <c r="R41" s="28">
        <f>Z25</f>
        <v>431267.59892758424</v>
      </c>
      <c r="S41" s="28">
        <f>AA25+Y30+AI30</f>
        <v>1269632.7668677645</v>
      </c>
      <c r="T41" s="28">
        <f>AB25+Z30+AJ30</f>
        <v>-528116.84290830221</v>
      </c>
      <c r="U41" s="23">
        <v>0</v>
      </c>
      <c r="V41" s="23">
        <v>0</v>
      </c>
      <c r="W41" s="29">
        <f>AA30</f>
        <v>-452500.2789040705</v>
      </c>
      <c r="X41" s="29">
        <f>AB30</f>
        <v>-324500.59886785893</v>
      </c>
      <c r="Y41" s="29">
        <f>AK30</f>
        <v>-415542.6326103555</v>
      </c>
      <c r="Z41" s="29">
        <f>AL30</f>
        <v>421349.8428485769</v>
      </c>
      <c r="AA41" s="27"/>
      <c r="AB41" s="23">
        <f t="shared" ref="AB41:AE44" si="5">Q45</f>
        <v>-29902.84631836036</v>
      </c>
      <c r="AC41" s="23">
        <f t="shared" si="5"/>
        <v>-127527.25233901659</v>
      </c>
      <c r="AD41" s="23">
        <f t="shared" si="5"/>
        <v>-452500.2789040705</v>
      </c>
      <c r="AE41" s="23">
        <f t="shared" si="5"/>
        <v>-324500.59886785893</v>
      </c>
      <c r="AF41" s="23">
        <f t="shared" ref="AF41:AI44" si="6">W45</f>
        <v>76791925.400868595</v>
      </c>
      <c r="AG41" s="23">
        <f t="shared" si="6"/>
        <v>-9182494.4244392663</v>
      </c>
      <c r="AH41" s="23">
        <f t="shared" si="6"/>
        <v>-27163888.888888888</v>
      </c>
      <c r="AI41" s="23">
        <f t="shared" si="6"/>
        <v>0</v>
      </c>
    </row>
    <row r="42" spans="14:38">
      <c r="N42" s="26"/>
      <c r="O42" s="23">
        <v>0</v>
      </c>
      <c r="P42" s="23">
        <v>0</v>
      </c>
      <c r="Q42" s="28">
        <f>Y26</f>
        <v>431267.59892758424</v>
      </c>
      <c r="R42" s="28">
        <f>Z26</f>
        <v>-463138.54646830889</v>
      </c>
      <c r="S42" s="28">
        <f>AA26+Y31+AI31</f>
        <v>-528116.84290830221</v>
      </c>
      <c r="T42" s="28">
        <f>AB26+Z31+AJ31</f>
        <v>1123085.2056487508</v>
      </c>
      <c r="U42" s="23">
        <v>0</v>
      </c>
      <c r="V42" s="23">
        <v>0</v>
      </c>
      <c r="W42" s="29">
        <f>AA31</f>
        <v>-324500.59886785893</v>
      </c>
      <c r="X42" s="29">
        <f>AB31</f>
        <v>-232708.45030334822</v>
      </c>
      <c r="Y42" s="29">
        <f>AK31</f>
        <v>421349.8428485769</v>
      </c>
      <c r="Z42" s="29">
        <f>AL31</f>
        <v>-427238.20887709362</v>
      </c>
      <c r="AA42" s="27"/>
      <c r="AB42" s="23">
        <f t="shared" si="5"/>
        <v>-127527.25233901659</v>
      </c>
      <c r="AC42" s="23">
        <f t="shared" si="5"/>
        <v>-543867.96213287557</v>
      </c>
      <c r="AD42" s="23">
        <f t="shared" si="5"/>
        <v>-324500.59886785893</v>
      </c>
      <c r="AE42" s="23">
        <f t="shared" si="5"/>
        <v>-232708.45030334822</v>
      </c>
      <c r="AF42" s="23">
        <f t="shared" si="6"/>
        <v>-9182494.4244392663</v>
      </c>
      <c r="AG42" s="23">
        <f t="shared" si="6"/>
        <v>10411098.688082367</v>
      </c>
      <c r="AH42" s="23">
        <f t="shared" si="6"/>
        <v>0</v>
      </c>
      <c r="AI42" s="23">
        <f t="shared" si="6"/>
        <v>0</v>
      </c>
    </row>
    <row r="43" spans="14:38">
      <c r="N43" s="26"/>
      <c r="O43" s="23">
        <v>0</v>
      </c>
      <c r="P43" s="23">
        <v>0</v>
      </c>
      <c r="Q43" s="23">
        <f>O32</f>
        <v>-18145664.808616489</v>
      </c>
      <c r="R43" s="23">
        <f>P32</f>
        <v>-12709427.567439931</v>
      </c>
      <c r="S43" s="23">
        <v>0</v>
      </c>
      <c r="T43" s="23">
        <v>0</v>
      </c>
      <c r="U43" s="23">
        <f>Q32+T23</f>
        <v>57656775.919727601</v>
      </c>
      <c r="V43" s="23">
        <f>R32+U23</f>
        <v>12709427.567439931</v>
      </c>
      <c r="W43" s="23">
        <f>V23</f>
        <v>-39511111.111111112</v>
      </c>
      <c r="X43" s="23">
        <f>W23</f>
        <v>0</v>
      </c>
      <c r="Y43" s="23">
        <v>0</v>
      </c>
      <c r="Z43" s="23">
        <v>0</v>
      </c>
      <c r="AA43" s="27"/>
      <c r="AB43" s="23">
        <f t="shared" si="5"/>
        <v>-16299922.834375586</v>
      </c>
      <c r="AC43" s="23">
        <f t="shared" si="5"/>
        <v>17000892.752321508</v>
      </c>
      <c r="AD43" s="23">
        <f t="shared" si="5"/>
        <v>-415542.6326103555</v>
      </c>
      <c r="AE43" s="23">
        <f t="shared" si="5"/>
        <v>421349.8428485769</v>
      </c>
      <c r="AF43" s="23">
        <f t="shared" si="6"/>
        <v>-27163888.888888888</v>
      </c>
      <c r="AG43" s="23">
        <f t="shared" si="6"/>
        <v>0</v>
      </c>
      <c r="AH43" s="23">
        <f t="shared" si="6"/>
        <v>43879354.355874829</v>
      </c>
      <c r="AI43" s="23">
        <f t="shared" si="6"/>
        <v>-17422242.595170084</v>
      </c>
    </row>
    <row r="44" spans="14:38">
      <c r="N44" s="26"/>
      <c r="O44" s="23">
        <v>0</v>
      </c>
      <c r="P44" s="23">
        <v>0</v>
      </c>
      <c r="Q44" s="23">
        <f>O33</f>
        <v>-12709427.567439931</v>
      </c>
      <c r="R44" s="23">
        <f>P33</f>
        <v>-8901825.9069405682</v>
      </c>
      <c r="S44" s="23">
        <v>0</v>
      </c>
      <c r="T44" s="23">
        <v>0</v>
      </c>
      <c r="U44" s="23">
        <f>Q33+T24</f>
        <v>12709427.567439931</v>
      </c>
      <c r="V44" s="23">
        <f>R33+U24</f>
        <v>8901825.9069405682</v>
      </c>
      <c r="W44" s="23">
        <f>V24</f>
        <v>0</v>
      </c>
      <c r="X44" s="23">
        <f>W24</f>
        <v>0</v>
      </c>
      <c r="Y44" s="23">
        <v>0</v>
      </c>
      <c r="Z44" s="23">
        <v>0</v>
      </c>
      <c r="AA44" s="27"/>
      <c r="AB44" s="23">
        <f t="shared" si="5"/>
        <v>17000892.752321508</v>
      </c>
      <c r="AC44" s="23">
        <f t="shared" si="5"/>
        <v>-17732007.52621907</v>
      </c>
      <c r="AD44" s="23">
        <f t="shared" si="5"/>
        <v>421349.8428485769</v>
      </c>
      <c r="AE44" s="23">
        <f t="shared" si="5"/>
        <v>-427238.20887709362</v>
      </c>
      <c r="AF44" s="23">
        <f t="shared" si="6"/>
        <v>0</v>
      </c>
      <c r="AG44" s="23">
        <f t="shared" si="6"/>
        <v>0</v>
      </c>
      <c r="AH44" s="23">
        <f t="shared" si="6"/>
        <v>-17422242.595170084</v>
      </c>
      <c r="AI44" s="23">
        <f t="shared" si="6"/>
        <v>18159245.735096164</v>
      </c>
    </row>
    <row r="45" spans="14:38">
      <c r="N45" s="26"/>
      <c r="O45" s="23">
        <f>AI25</f>
        <v>-9634522.2756461427</v>
      </c>
      <c r="P45" s="23">
        <f>AJ25</f>
        <v>9634522.2756461427</v>
      </c>
      <c r="Q45" s="29">
        <f>AD32</f>
        <v>-29902.84631836036</v>
      </c>
      <c r="R45" s="29">
        <f>AE32</f>
        <v>-127527.25233901659</v>
      </c>
      <c r="S45" s="29">
        <f>Y32</f>
        <v>-452500.2789040705</v>
      </c>
      <c r="T45" s="29">
        <f>Z32</f>
        <v>-324500.59886785893</v>
      </c>
      <c r="U45" s="23">
        <f>T25</f>
        <v>-39511111.111111112</v>
      </c>
      <c r="V45" s="23">
        <f>U25</f>
        <v>0</v>
      </c>
      <c r="W45" s="29">
        <f>V25+AA32+AD23+AF32+AK25</f>
        <v>76791925.400868595</v>
      </c>
      <c r="X45" s="29">
        <f>W25+AB32+AE23+AG32+AL25</f>
        <v>-9182494.4244392663</v>
      </c>
      <c r="Y45" s="29">
        <f>AF23</f>
        <v>-27163888.888888888</v>
      </c>
      <c r="Z45" s="29">
        <f>AG23</f>
        <v>0</v>
      </c>
      <c r="AA45" s="27"/>
    </row>
    <row r="46" spans="14:38">
      <c r="N46" s="26"/>
      <c r="O46" s="23">
        <f>AI26</f>
        <v>9634522.2756461427</v>
      </c>
      <c r="P46" s="23">
        <f>AJ26</f>
        <v>-9634522.2756461427</v>
      </c>
      <c r="Q46" s="29">
        <f>AD33</f>
        <v>-127527.25233901659</v>
      </c>
      <c r="R46" s="29">
        <f>AE33</f>
        <v>-543867.96213287557</v>
      </c>
      <c r="S46" s="29">
        <f>Y33</f>
        <v>-324500.59886785893</v>
      </c>
      <c r="T46" s="29">
        <f>Z33</f>
        <v>-232708.45030334822</v>
      </c>
      <c r="U46" s="23">
        <f>T26</f>
        <v>0</v>
      </c>
      <c r="V46" s="23">
        <f>U26</f>
        <v>0</v>
      </c>
      <c r="W46" s="29">
        <f>V26+AA33+AD24+AF33+AK26</f>
        <v>-9182494.4244392663</v>
      </c>
      <c r="X46" s="29">
        <f>W26+AB33+AE24+AG33+AL26</f>
        <v>10411098.688082367</v>
      </c>
      <c r="Y46" s="29">
        <f>AF24</f>
        <v>0</v>
      </c>
      <c r="Z46" s="29">
        <f>AG24</f>
        <v>0</v>
      </c>
      <c r="AA46" s="27"/>
    </row>
    <row r="47" spans="14:38">
      <c r="N47" s="26"/>
      <c r="O47" s="23">
        <v>0</v>
      </c>
      <c r="P47" s="23">
        <v>0</v>
      </c>
      <c r="Q47" s="29">
        <f>T32</f>
        <v>-16299922.834375586</v>
      </c>
      <c r="R47" s="29">
        <f>U32</f>
        <v>17000892.752321508</v>
      </c>
      <c r="S47" s="29">
        <f>AI32</f>
        <v>-415542.6326103555</v>
      </c>
      <c r="T47" s="29">
        <f>AJ32</f>
        <v>421349.8428485769</v>
      </c>
      <c r="U47" s="23">
        <v>0</v>
      </c>
      <c r="V47" s="23">
        <v>0</v>
      </c>
      <c r="W47" s="29">
        <f>AD25</f>
        <v>-27163888.888888888</v>
      </c>
      <c r="X47" s="29">
        <f>AE25</f>
        <v>0</v>
      </c>
      <c r="Y47" s="29">
        <f>AF25+V32+AK32</f>
        <v>43879354.355874829</v>
      </c>
      <c r="Z47" s="29">
        <f>AG25+W32+AL32</f>
        <v>-17422242.595170084</v>
      </c>
      <c r="AA47" s="27"/>
      <c r="AB47" s="22" t="s">
        <v>71</v>
      </c>
    </row>
    <row r="48" spans="14:38">
      <c r="N48" s="26"/>
      <c r="O48" s="23">
        <v>0</v>
      </c>
      <c r="P48" s="23">
        <v>0</v>
      </c>
      <c r="Q48" s="29">
        <f>T33</f>
        <v>17000892.752321508</v>
      </c>
      <c r="R48" s="29">
        <f>U33</f>
        <v>-17732007.52621907</v>
      </c>
      <c r="S48" s="29">
        <f>AI33</f>
        <v>421349.8428485769</v>
      </c>
      <c r="T48" s="29">
        <f>AJ33</f>
        <v>-427238.20887709362</v>
      </c>
      <c r="U48" s="23">
        <v>0</v>
      </c>
      <c r="V48" s="23">
        <v>0</v>
      </c>
      <c r="W48" s="29">
        <f>AD26</f>
        <v>0</v>
      </c>
      <c r="X48" s="29">
        <f>AE26</f>
        <v>0</v>
      </c>
      <c r="Y48" s="29">
        <f>AF26+V33+AK33</f>
        <v>-17422242.595170084</v>
      </c>
      <c r="Z48" s="29">
        <f>AG26+W33+AL33</f>
        <v>18159245.735096164</v>
      </c>
      <c r="AA48" s="27"/>
      <c r="AB48" s="23">
        <v>0</v>
      </c>
    </row>
    <row r="49" spans="15:38">
      <c r="AB49" s="23">
        <v>0</v>
      </c>
    </row>
    <row r="50" spans="15:38">
      <c r="O50" s="39" t="s">
        <v>72</v>
      </c>
      <c r="P50" s="39"/>
      <c r="Q50" s="39"/>
      <c r="R50" s="39"/>
      <c r="S50" s="39"/>
      <c r="T50" s="39"/>
      <c r="U50" s="39"/>
      <c r="V50" s="39"/>
      <c r="AB50" s="23">
        <f>Z52</f>
        <v>1.2084097393126773E-2</v>
      </c>
    </row>
    <row r="51" spans="15:38">
      <c r="O51" s="22" t="s">
        <v>54</v>
      </c>
      <c r="P51" s="22" t="s">
        <v>55</v>
      </c>
      <c r="Q51" s="22" t="s">
        <v>60</v>
      </c>
      <c r="R51" s="22" t="s">
        <v>61</v>
      </c>
      <c r="S51" s="22" t="s">
        <v>58</v>
      </c>
      <c r="T51" s="22" t="s">
        <v>59</v>
      </c>
      <c r="U51" s="22" t="s">
        <v>62</v>
      </c>
      <c r="V51" s="22" t="s">
        <v>63</v>
      </c>
      <c r="X51" s="22" t="s">
        <v>73</v>
      </c>
      <c r="Z51" s="22" t="s">
        <v>74</v>
      </c>
      <c r="AB51" s="23">
        <f>Z53</f>
        <v>-5.4759335616873198E-2</v>
      </c>
    </row>
    <row r="52" spans="15:38" ht="16" customHeight="1">
      <c r="O52" s="23">
        <f t="array" ref="O52:V59">MINVERSE(AB37:AI44)</f>
        <v>1.6624919688274454E-8</v>
      </c>
      <c r="P52" s="23">
        <v>-1.0661513974327239E-8</v>
      </c>
      <c r="Q52" s="23">
        <v>1.0947044450676626E-8</v>
      </c>
      <c r="R52" s="23">
        <v>-1.5878242563029202E-8</v>
      </c>
      <c r="S52" s="23">
        <v>-1.066883178388621E-10</v>
      </c>
      <c r="T52" s="23">
        <v>-4.6111071637185904E-10</v>
      </c>
      <c r="U52" s="23">
        <v>-1.066561218959081E-10</v>
      </c>
      <c r="V52" s="23">
        <v>-2.670502100945487E-8</v>
      </c>
      <c r="W52" s="40" t="s">
        <v>75</v>
      </c>
      <c r="X52" s="23">
        <f>Q4</f>
        <v>0</v>
      </c>
      <c r="Y52" s="40" t="s">
        <v>76</v>
      </c>
      <c r="Z52" s="23">
        <f t="array" ref="Z52:Z59">MMULT(O52:V59,X52:X59)</f>
        <v>1.2084097393126773E-2</v>
      </c>
      <c r="AB52" s="23">
        <f>Z54</f>
        <v>-7.9735764057495932E-3</v>
      </c>
    </row>
    <row r="53" spans="15:38" ht="16" customHeight="1">
      <c r="O53" s="23">
        <v>-1.0661513974327236E-8</v>
      </c>
      <c r="P53" s="23">
        <v>1.0436933985963653E-7</v>
      </c>
      <c r="Q53" s="23">
        <v>-4.4719600022020763E-8</v>
      </c>
      <c r="R53" s="23">
        <v>7.1594246588566182E-8</v>
      </c>
      <c r="S53" s="23">
        <v>1.6069558934611821E-9</v>
      </c>
      <c r="T53" s="23">
        <v>6.9453207082243003E-9</v>
      </c>
      <c r="U53" s="23">
        <v>1.6064709532041267E-9</v>
      </c>
      <c r="V53" s="23">
        <v>1.1615856336282379E-7</v>
      </c>
      <c r="W53" s="40"/>
      <c r="X53" s="23">
        <f>Q5</f>
        <v>0</v>
      </c>
      <c r="Y53" s="40"/>
      <c r="Z53" s="23">
        <v>-5.4759335616873198E-2</v>
      </c>
      <c r="AB53" s="23">
        <f>Z55</f>
        <v>-8.5349006671084818E-2</v>
      </c>
    </row>
    <row r="54" spans="15:38" ht="16" customHeight="1">
      <c r="O54" s="23">
        <v>1.0947044450676623E-8</v>
      </c>
      <c r="P54" s="23">
        <v>-4.4719600022020783E-8</v>
      </c>
      <c r="Q54" s="23">
        <v>1.0458548180824072E-6</v>
      </c>
      <c r="R54" s="23">
        <v>4.6309065144298005E-7</v>
      </c>
      <c r="S54" s="23">
        <v>2.4035494788529899E-8</v>
      </c>
      <c r="T54" s="23">
        <v>6.1945998940059939E-8</v>
      </c>
      <c r="U54" s="23">
        <v>2.4251533530960827E-8</v>
      </c>
      <c r="V54" s="23">
        <v>-4.4020686033550082E-8</v>
      </c>
      <c r="W54" s="40"/>
      <c r="X54" s="23">
        <f>R4</f>
        <v>0</v>
      </c>
      <c r="Y54" s="40"/>
      <c r="Z54" s="23">
        <v>-7.9735764057495932E-3</v>
      </c>
      <c r="AB54" s="23">
        <v>0</v>
      </c>
    </row>
    <row r="55" spans="15:38" ht="16" customHeight="1">
      <c r="O55" s="23">
        <v>-1.5878242563029192E-8</v>
      </c>
      <c r="P55" s="23">
        <v>7.1594246588566182E-8</v>
      </c>
      <c r="Q55" s="23">
        <v>4.6309065144298005E-7</v>
      </c>
      <c r="R55" s="23">
        <v>1.2032800983282905E-6</v>
      </c>
      <c r="S55" s="23">
        <v>2.4396647715493426E-8</v>
      </c>
      <c r="T55" s="23">
        <v>6.6392765198402114E-8</v>
      </c>
      <c r="U55" s="23">
        <v>2.4118239603656828E-8</v>
      </c>
      <c r="V55" s="23">
        <v>1.2547943530322043E-7</v>
      </c>
      <c r="W55" s="40"/>
      <c r="X55" s="23">
        <f>R5</f>
        <v>0</v>
      </c>
      <c r="Y55" s="40"/>
      <c r="Z55" s="23">
        <v>-8.5349006671084818E-2</v>
      </c>
      <c r="AB55" s="23">
        <v>0</v>
      </c>
    </row>
    <row r="56" spans="15:38" ht="16" customHeight="1">
      <c r="O56" s="23">
        <v>-1.0668831783886213E-10</v>
      </c>
      <c r="P56" s="23">
        <v>1.6069558934611829E-9</v>
      </c>
      <c r="Q56" s="23">
        <v>2.4035494788529902E-8</v>
      </c>
      <c r="R56" s="23">
        <v>2.4396647715493429E-8</v>
      </c>
      <c r="S56" s="23">
        <v>2.4841428482290053E-8</v>
      </c>
      <c r="T56" s="23">
        <v>2.3287021907272606E-8</v>
      </c>
      <c r="U56" s="23">
        <v>2.4841569685514299E-8</v>
      </c>
      <c r="V56" s="23">
        <v>2.5518682825991126E-8</v>
      </c>
      <c r="W56" s="40"/>
      <c r="X56" s="23">
        <f>T4</f>
        <v>0</v>
      </c>
      <c r="Y56" s="40"/>
      <c r="Z56" s="23">
        <v>-2.1709858999772597E-2</v>
      </c>
      <c r="AB56" s="23">
        <f>Z56</f>
        <v>-2.1709858999772597E-2</v>
      </c>
    </row>
    <row r="57" spans="15:38" ht="16" customHeight="1">
      <c r="O57" s="23">
        <v>-4.6111071637185816E-10</v>
      </c>
      <c r="P57" s="23">
        <v>6.9453207082243011E-9</v>
      </c>
      <c r="Q57" s="23">
        <v>6.1945998940059952E-8</v>
      </c>
      <c r="R57" s="23">
        <v>6.6392765198402114E-8</v>
      </c>
      <c r="S57" s="23">
        <v>2.3287021907272606E-8</v>
      </c>
      <c r="T57" s="23">
        <v>1.2036223945808992E-7</v>
      </c>
      <c r="U57" s="23">
        <v>2.3287632192645999E-8</v>
      </c>
      <c r="V57" s="23">
        <v>2.9680810946854558E-8</v>
      </c>
      <c r="W57" s="40"/>
      <c r="X57" s="23">
        <f>T5</f>
        <v>-444822.16</v>
      </c>
      <c r="Y57" s="40"/>
      <c r="Z57" s="23">
        <v>-6.6742473774116268E-2</v>
      </c>
      <c r="AB57" s="23">
        <f>Z57</f>
        <v>-6.6742473774116268E-2</v>
      </c>
    </row>
    <row r="58" spans="15:38" ht="16" customHeight="1">
      <c r="O58" s="23">
        <v>-1.0665612189590597E-10</v>
      </c>
      <c r="P58" s="23">
        <v>1.6064709532041152E-9</v>
      </c>
      <c r="Q58" s="23">
        <v>2.4251533530960834E-8</v>
      </c>
      <c r="R58" s="23">
        <v>2.4118239603656825E-8</v>
      </c>
      <c r="S58" s="23">
        <v>2.4841569685514302E-8</v>
      </c>
      <c r="T58" s="23">
        <v>2.3287632192645992E-8</v>
      </c>
      <c r="U58" s="23">
        <v>6.1655071990135641E-8</v>
      </c>
      <c r="V58" s="23">
        <v>6.0826021934935619E-8</v>
      </c>
      <c r="W58" s="40"/>
      <c r="X58" s="23">
        <f>U4</f>
        <v>0</v>
      </c>
      <c r="Y58" s="40"/>
      <c r="Z58" s="23">
        <v>-3.7415617314523766E-2</v>
      </c>
      <c r="AB58" s="23">
        <f>Z58</f>
        <v>-3.7415617314523766E-2</v>
      </c>
    </row>
    <row r="59" spans="15:38" ht="16" customHeight="1">
      <c r="O59" s="23">
        <v>-2.670502100945487E-8</v>
      </c>
      <c r="P59" s="23">
        <v>1.1615856336282379E-7</v>
      </c>
      <c r="Q59" s="23">
        <v>-4.4020686033550062E-8</v>
      </c>
      <c r="R59" s="23">
        <v>1.2547943530322046E-7</v>
      </c>
      <c r="S59" s="23">
        <v>2.5518682825991126E-8</v>
      </c>
      <c r="T59" s="23">
        <v>2.9680810946854554E-8</v>
      </c>
      <c r="U59" s="23">
        <v>6.0826021934935633E-8</v>
      </c>
      <c r="V59" s="23">
        <v>2.5582654776887876E-7</v>
      </c>
      <c r="W59" s="40"/>
      <c r="X59" s="23">
        <f>U5</f>
        <v>-444822.16</v>
      </c>
      <c r="Y59" s="40"/>
      <c r="Z59" s="23">
        <v>-0.12699999999982731</v>
      </c>
      <c r="AB59" s="23">
        <f>Z59</f>
        <v>-0.12699999999982731</v>
      </c>
    </row>
    <row r="61" spans="15:38">
      <c r="O61" s="38" t="s">
        <v>77</v>
      </c>
      <c r="P61" s="38"/>
      <c r="Q61" s="38"/>
      <c r="R61" s="38"/>
      <c r="S61" s="38"/>
      <c r="T61" s="38"/>
      <c r="U61" s="38"/>
      <c r="V61" s="38"/>
      <c r="W61" s="38"/>
      <c r="X61" s="38"/>
      <c r="Y61" s="38"/>
      <c r="Z61" s="38"/>
      <c r="AA61" s="38"/>
      <c r="AB61" s="38"/>
      <c r="AC61" s="38"/>
      <c r="AD61" s="38"/>
      <c r="AE61" s="38"/>
      <c r="AF61" s="38"/>
      <c r="AG61" s="38"/>
      <c r="AH61" s="38"/>
      <c r="AI61" s="38"/>
      <c r="AJ61" s="38"/>
      <c r="AK61" s="38"/>
      <c r="AL61" s="38"/>
    </row>
    <row r="63" spans="15:38">
      <c r="O63" s="39" t="s">
        <v>47</v>
      </c>
      <c r="P63" s="39"/>
      <c r="Q63" s="39"/>
      <c r="R63" s="39"/>
      <c r="T63" s="39" t="s">
        <v>48</v>
      </c>
      <c r="U63" s="39"/>
      <c r="V63" s="39"/>
      <c r="W63" s="39"/>
      <c r="Y63" s="39" t="s">
        <v>49</v>
      </c>
      <c r="Z63" s="39"/>
      <c r="AA63" s="39"/>
      <c r="AB63" s="39"/>
      <c r="AD63" s="39" t="s">
        <v>50</v>
      </c>
      <c r="AE63" s="39"/>
      <c r="AF63" s="39"/>
      <c r="AG63" s="39"/>
      <c r="AI63" s="39" t="s">
        <v>51</v>
      </c>
      <c r="AJ63" s="39"/>
      <c r="AK63" s="39"/>
      <c r="AL63" s="39"/>
    </row>
    <row r="64" spans="15:38">
      <c r="O64" s="23">
        <f>$Q8</f>
        <v>0.99096350199347361</v>
      </c>
      <c r="P64" s="23">
        <f>$R8</f>
        <v>-0.13413179234182621</v>
      </c>
      <c r="Q64" s="23">
        <v>0</v>
      </c>
      <c r="R64" s="23">
        <v>0</v>
      </c>
      <c r="T64" s="23">
        <f>$Q9</f>
        <v>1</v>
      </c>
      <c r="U64" s="23">
        <f>$R9</f>
        <v>0</v>
      </c>
      <c r="V64" s="23">
        <v>0</v>
      </c>
      <c r="W64" s="23">
        <v>0</v>
      </c>
      <c r="Y64" s="23">
        <f>$Q10</f>
        <v>0.68147747403064307</v>
      </c>
      <c r="Z64" s="23">
        <f>$R10</f>
        <v>-0.73183908913695939</v>
      </c>
      <c r="AA64" s="23">
        <v>0</v>
      </c>
      <c r="AB64" s="23">
        <v>0</v>
      </c>
      <c r="AD64" s="23">
        <f>$Q11</f>
        <v>1</v>
      </c>
      <c r="AE64" s="23">
        <f>$R11</f>
        <v>0</v>
      </c>
      <c r="AF64" s="23">
        <v>0</v>
      </c>
      <c r="AG64" s="23">
        <v>0</v>
      </c>
      <c r="AI64" s="23">
        <f>$Q12</f>
        <v>0.70710678118654757</v>
      </c>
      <c r="AJ64" s="23">
        <f>$R12</f>
        <v>-0.70710678118654757</v>
      </c>
      <c r="AK64" s="23">
        <v>0</v>
      </c>
      <c r="AL64" s="23">
        <v>0</v>
      </c>
    </row>
    <row r="65" spans="15:38">
      <c r="O65" s="23">
        <f>-P64</f>
        <v>0.13413179234182621</v>
      </c>
      <c r="P65" s="23">
        <f>O64</f>
        <v>0.99096350199347361</v>
      </c>
      <c r="Q65" s="23">
        <v>0</v>
      </c>
      <c r="R65" s="23">
        <v>0</v>
      </c>
      <c r="T65" s="23">
        <f>-U64</f>
        <v>0</v>
      </c>
      <c r="U65" s="23">
        <f>T64</f>
        <v>1</v>
      </c>
      <c r="V65" s="23">
        <v>0</v>
      </c>
      <c r="W65" s="23">
        <v>0</v>
      </c>
      <c r="Y65" s="23">
        <f>-Z64</f>
        <v>0.73183908913695939</v>
      </c>
      <c r="Z65" s="23">
        <f>Y64</f>
        <v>0.68147747403064307</v>
      </c>
      <c r="AA65" s="23">
        <v>0</v>
      </c>
      <c r="AB65" s="23">
        <v>0</v>
      </c>
      <c r="AD65" s="23">
        <f>-AE64</f>
        <v>0</v>
      </c>
      <c r="AE65" s="23">
        <f>AD64</f>
        <v>1</v>
      </c>
      <c r="AF65" s="23">
        <v>0</v>
      </c>
      <c r="AG65" s="23">
        <v>0</v>
      </c>
      <c r="AI65" s="23">
        <f>-AJ64</f>
        <v>0.70710678118654757</v>
      </c>
      <c r="AJ65" s="23">
        <f>AI64</f>
        <v>0.70710678118654757</v>
      </c>
      <c r="AK65" s="23">
        <v>0</v>
      </c>
      <c r="AL65" s="23">
        <v>0</v>
      </c>
    </row>
    <row r="66" spans="15:38">
      <c r="O66" s="23">
        <v>0</v>
      </c>
      <c r="P66" s="23">
        <v>0</v>
      </c>
      <c r="Q66" s="23">
        <f>O64</f>
        <v>0.99096350199347361</v>
      </c>
      <c r="R66" s="23">
        <f>P64</f>
        <v>-0.13413179234182621</v>
      </c>
      <c r="T66" s="23">
        <v>0</v>
      </c>
      <c r="U66" s="23">
        <v>0</v>
      </c>
      <c r="V66" s="23">
        <f>T64</f>
        <v>1</v>
      </c>
      <c r="W66" s="23">
        <f>U64</f>
        <v>0</v>
      </c>
      <c r="Y66" s="23">
        <v>0</v>
      </c>
      <c r="Z66" s="23">
        <v>0</v>
      </c>
      <c r="AA66" s="23">
        <f>Y64</f>
        <v>0.68147747403064307</v>
      </c>
      <c r="AB66" s="23">
        <f>Z64</f>
        <v>-0.73183908913695939</v>
      </c>
      <c r="AD66" s="23">
        <v>0</v>
      </c>
      <c r="AE66" s="23">
        <v>0</v>
      </c>
      <c r="AF66" s="23">
        <f>AD64</f>
        <v>1</v>
      </c>
      <c r="AG66" s="23">
        <f>AE64</f>
        <v>0</v>
      </c>
      <c r="AI66" s="23">
        <v>0</v>
      </c>
      <c r="AJ66" s="23">
        <v>0</v>
      </c>
      <c r="AK66" s="23">
        <f>AI64</f>
        <v>0.70710678118654757</v>
      </c>
      <c r="AL66" s="23">
        <f>AJ64</f>
        <v>-0.70710678118654757</v>
      </c>
    </row>
    <row r="67" spans="15:38">
      <c r="O67" s="23">
        <v>0</v>
      </c>
      <c r="P67" s="23">
        <v>0</v>
      </c>
      <c r="Q67" s="23">
        <f>O65</f>
        <v>0.13413179234182621</v>
      </c>
      <c r="R67" s="23">
        <f>P65</f>
        <v>0.99096350199347361</v>
      </c>
      <c r="T67" s="23">
        <v>0</v>
      </c>
      <c r="U67" s="23">
        <v>0</v>
      </c>
      <c r="V67" s="23">
        <f>T65</f>
        <v>0</v>
      </c>
      <c r="W67" s="23">
        <f>U65</f>
        <v>1</v>
      </c>
      <c r="Y67" s="23">
        <v>0</v>
      </c>
      <c r="Z67" s="23">
        <v>0</v>
      </c>
      <c r="AA67" s="23">
        <f>Y65</f>
        <v>0.73183908913695939</v>
      </c>
      <c r="AB67" s="23">
        <f>Z65</f>
        <v>0.68147747403064307</v>
      </c>
      <c r="AD67" s="23">
        <v>0</v>
      </c>
      <c r="AE67" s="23">
        <v>0</v>
      </c>
      <c r="AF67" s="23">
        <f>AD65</f>
        <v>0</v>
      </c>
      <c r="AG67" s="23">
        <f>AE65</f>
        <v>1</v>
      </c>
      <c r="AI67" s="23">
        <v>0</v>
      </c>
      <c r="AJ67" s="23">
        <v>0</v>
      </c>
      <c r="AK67" s="23">
        <f>AI65</f>
        <v>0.70710678118654757</v>
      </c>
      <c r="AL67" s="23">
        <f>AJ65</f>
        <v>0.70710678118654757</v>
      </c>
    </row>
    <row r="69" spans="15:38">
      <c r="O69" s="39" t="s">
        <v>64</v>
      </c>
      <c r="P69" s="39"/>
      <c r="Q69" s="39"/>
      <c r="R69" s="39"/>
      <c r="T69" s="39" t="s">
        <v>65</v>
      </c>
      <c r="U69" s="39"/>
      <c r="V69" s="39"/>
      <c r="W69" s="39"/>
      <c r="Y69" s="39" t="s">
        <v>66</v>
      </c>
      <c r="Z69" s="39"/>
      <c r="AA69" s="39"/>
      <c r="AB69" s="39"/>
      <c r="AD69" s="39" t="s">
        <v>67</v>
      </c>
      <c r="AE69" s="39"/>
      <c r="AF69" s="39"/>
      <c r="AG69" s="39"/>
      <c r="AI69" s="39" t="s">
        <v>68</v>
      </c>
      <c r="AJ69" s="39"/>
      <c r="AK69" s="39"/>
      <c r="AL69" s="39"/>
    </row>
    <row r="70" spans="15:38">
      <c r="O70" s="23">
        <f>$Q13</f>
        <v>-0.81907364476223343</v>
      </c>
      <c r="P70" s="23">
        <f>$R13</f>
        <v>-0.57368838619577334</v>
      </c>
      <c r="Q70" s="23">
        <v>0</v>
      </c>
      <c r="R70" s="23">
        <v>0</v>
      </c>
      <c r="T70" s="23">
        <f>$Q14</f>
        <v>0.69206913711807161</v>
      </c>
      <c r="U70" s="23">
        <f>$R14</f>
        <v>-0.72183121950262563</v>
      </c>
      <c r="V70" s="23">
        <v>0</v>
      </c>
      <c r="W70" s="23">
        <v>0</v>
      </c>
      <c r="Y70" s="23">
        <f>$Q15</f>
        <v>-0.81263960072693708</v>
      </c>
      <c r="Z70" s="23">
        <f>$R15</f>
        <v>-0.58276657362134654</v>
      </c>
      <c r="AA70" s="23">
        <v>0</v>
      </c>
      <c r="AB70" s="23">
        <v>0</v>
      </c>
      <c r="AD70" s="23">
        <f>$Q16</f>
        <v>-0.2282900798023112</v>
      </c>
      <c r="AE70" s="23">
        <f>$R16</f>
        <v>-0.97359315910900601</v>
      </c>
      <c r="AF70" s="23">
        <v>0</v>
      </c>
      <c r="AG70" s="23">
        <v>0</v>
      </c>
      <c r="AI70" s="23">
        <f>$Q17</f>
        <v>0.70218325111330626</v>
      </c>
      <c r="AJ70" s="23">
        <f>$R17</f>
        <v>-0.71199626533848293</v>
      </c>
      <c r="AK70" s="23">
        <v>0</v>
      </c>
      <c r="AL70" s="23">
        <v>0</v>
      </c>
    </row>
    <row r="71" spans="15:38">
      <c r="O71" s="23">
        <f>-P70</f>
        <v>0.57368838619577334</v>
      </c>
      <c r="P71" s="23">
        <f>O70</f>
        <v>-0.81907364476223343</v>
      </c>
      <c r="Q71" s="23">
        <v>0</v>
      </c>
      <c r="R71" s="23">
        <v>0</v>
      </c>
      <c r="T71" s="23">
        <f>-U70</f>
        <v>0.72183121950262563</v>
      </c>
      <c r="U71" s="23">
        <f>T70</f>
        <v>0.69206913711807161</v>
      </c>
      <c r="V71" s="23">
        <v>0</v>
      </c>
      <c r="W71" s="23">
        <v>0</v>
      </c>
      <c r="Y71" s="23">
        <f>-Z70</f>
        <v>0.58276657362134654</v>
      </c>
      <c r="Z71" s="23">
        <f>Y70</f>
        <v>-0.81263960072693708</v>
      </c>
      <c r="AA71" s="23">
        <v>0</v>
      </c>
      <c r="AB71" s="23">
        <v>0</v>
      </c>
      <c r="AD71" s="23">
        <f>-AE70</f>
        <v>0.97359315910900601</v>
      </c>
      <c r="AE71" s="23">
        <f>AD70</f>
        <v>-0.2282900798023112</v>
      </c>
      <c r="AF71" s="23">
        <v>0</v>
      </c>
      <c r="AG71" s="23">
        <v>0</v>
      </c>
      <c r="AI71" s="23">
        <f>-AJ70</f>
        <v>0.71199626533848293</v>
      </c>
      <c r="AJ71" s="23">
        <f>AI70</f>
        <v>0.70218325111330626</v>
      </c>
      <c r="AK71" s="23">
        <v>0</v>
      </c>
      <c r="AL71" s="23">
        <v>0</v>
      </c>
    </row>
    <row r="72" spans="15:38">
      <c r="O72" s="23">
        <v>0</v>
      </c>
      <c r="P72" s="23">
        <v>0</v>
      </c>
      <c r="Q72" s="23">
        <f>O70</f>
        <v>-0.81907364476223343</v>
      </c>
      <c r="R72" s="23">
        <f>P70</f>
        <v>-0.57368838619577334</v>
      </c>
      <c r="T72" s="23">
        <v>0</v>
      </c>
      <c r="U72" s="23">
        <v>0</v>
      </c>
      <c r="V72" s="23">
        <f>T70</f>
        <v>0.69206913711807161</v>
      </c>
      <c r="W72" s="23">
        <f>U70</f>
        <v>-0.72183121950262563</v>
      </c>
      <c r="Y72" s="23">
        <v>0</v>
      </c>
      <c r="Z72" s="23">
        <v>0</v>
      </c>
      <c r="AA72" s="23">
        <f>Y70</f>
        <v>-0.81263960072693708</v>
      </c>
      <c r="AB72" s="23">
        <f>Z70</f>
        <v>-0.58276657362134654</v>
      </c>
      <c r="AD72" s="23">
        <v>0</v>
      </c>
      <c r="AE72" s="23">
        <v>0</v>
      </c>
      <c r="AF72" s="23">
        <f>AD70</f>
        <v>-0.2282900798023112</v>
      </c>
      <c r="AG72" s="23">
        <f>AE70</f>
        <v>-0.97359315910900601</v>
      </c>
      <c r="AI72" s="23">
        <v>0</v>
      </c>
      <c r="AJ72" s="23">
        <v>0</v>
      </c>
      <c r="AK72" s="23">
        <f>AI70</f>
        <v>0.70218325111330626</v>
      </c>
      <c r="AL72" s="23">
        <f>AJ70</f>
        <v>-0.71199626533848293</v>
      </c>
    </row>
    <row r="73" spans="15:38">
      <c r="O73" s="23">
        <v>0</v>
      </c>
      <c r="P73" s="23">
        <v>0</v>
      </c>
      <c r="Q73" s="23">
        <f>O71</f>
        <v>0.57368838619577334</v>
      </c>
      <c r="R73" s="23">
        <f>P71</f>
        <v>-0.81907364476223343</v>
      </c>
      <c r="T73" s="23">
        <v>0</v>
      </c>
      <c r="U73" s="23">
        <v>0</v>
      </c>
      <c r="V73" s="23">
        <f>T71</f>
        <v>0.72183121950262563</v>
      </c>
      <c r="W73" s="23">
        <f>U71</f>
        <v>0.69206913711807161</v>
      </c>
      <c r="Y73" s="23">
        <v>0</v>
      </c>
      <c r="Z73" s="23">
        <v>0</v>
      </c>
      <c r="AA73" s="23">
        <f>Y71</f>
        <v>0.58276657362134654</v>
      </c>
      <c r="AB73" s="23">
        <f>Z71</f>
        <v>-0.81263960072693708</v>
      </c>
      <c r="AD73" s="23">
        <v>0</v>
      </c>
      <c r="AE73" s="23">
        <v>0</v>
      </c>
      <c r="AF73" s="23">
        <f>AD71</f>
        <v>0.97359315910900601</v>
      </c>
      <c r="AG73" s="23">
        <f>AE71</f>
        <v>-0.2282900798023112</v>
      </c>
      <c r="AI73" s="23">
        <v>0</v>
      </c>
      <c r="AJ73" s="23">
        <v>0</v>
      </c>
      <c r="AK73" s="23">
        <f>AI71</f>
        <v>0.71199626533848293</v>
      </c>
      <c r="AL73" s="23">
        <f>AJ71</f>
        <v>0.70218325111330626</v>
      </c>
    </row>
    <row r="75" spans="15:38">
      <c r="O75" s="39" t="s">
        <v>78</v>
      </c>
      <c r="P75" s="39"/>
      <c r="Q75" s="39"/>
      <c r="R75" s="39"/>
      <c r="S75" s="39"/>
      <c r="T75" s="39"/>
      <c r="U75" s="39"/>
      <c r="V75" s="39"/>
      <c r="W75" s="39"/>
      <c r="X75" s="39"/>
      <c r="Z75" s="39" t="s">
        <v>79</v>
      </c>
      <c r="AA75" s="39"/>
      <c r="AB75" s="39"/>
      <c r="AC75" s="39"/>
      <c r="AD75" s="39"/>
    </row>
    <row r="76" spans="15:38">
      <c r="O76" s="22" t="s">
        <v>52</v>
      </c>
      <c r="P76" s="22" t="s">
        <v>54</v>
      </c>
      <c r="Q76" s="22" t="s">
        <v>60</v>
      </c>
      <c r="R76" s="22" t="s">
        <v>56</v>
      </c>
      <c r="S76" s="22" t="s">
        <v>58</v>
      </c>
      <c r="T76" s="22" t="s">
        <v>62</v>
      </c>
      <c r="U76" s="22" t="s">
        <v>80</v>
      </c>
      <c r="V76" s="22" t="s">
        <v>81</v>
      </c>
      <c r="W76" s="22" t="s">
        <v>82</v>
      </c>
      <c r="X76" s="22" t="s">
        <v>83</v>
      </c>
      <c r="Z76" s="30" t="s">
        <v>47</v>
      </c>
      <c r="AA76" s="23">
        <f>-$M$2/P8</f>
        <v>-6340219121.4411316</v>
      </c>
      <c r="AB76" s="23">
        <v>0</v>
      </c>
      <c r="AC76" s="31">
        <f>$M$2/P8</f>
        <v>6340219121.4411316</v>
      </c>
      <c r="AD76" s="23">
        <v>0</v>
      </c>
    </row>
    <row r="77" spans="15:38">
      <c r="O77" s="23">
        <f>AB48</f>
        <v>0</v>
      </c>
      <c r="P77" s="23">
        <f>AB54</f>
        <v>0</v>
      </c>
      <c r="Q77" s="23">
        <f>AB50</f>
        <v>1.2084097393126773E-2</v>
      </c>
      <c r="R77" s="23">
        <f>AB56</f>
        <v>-2.1709858999772597E-2</v>
      </c>
      <c r="S77" s="23">
        <f>AB48</f>
        <v>0</v>
      </c>
      <c r="T77" s="23">
        <f>AB50</f>
        <v>1.2084097393126773E-2</v>
      </c>
      <c r="U77" s="23">
        <f>AB50</f>
        <v>1.2084097393126773E-2</v>
      </c>
      <c r="V77" s="23">
        <f>AB52</f>
        <v>-7.9735764057495932E-3</v>
      </c>
      <c r="W77" s="23">
        <f>AB50</f>
        <v>1.2084097393126773E-2</v>
      </c>
      <c r="X77" s="23">
        <f>AB52</f>
        <v>-7.9735764057495932E-3</v>
      </c>
      <c r="Z77" s="22" t="s">
        <v>48</v>
      </c>
      <c r="AA77" s="23">
        <f t="shared" ref="AA77:AA85" si="7">-$M$2/P9</f>
        <v>-7655293088.3639545</v>
      </c>
      <c r="AB77" s="23">
        <v>0</v>
      </c>
      <c r="AC77" s="31">
        <f t="shared" ref="AC77:AC85" si="8">$M$2/P9</f>
        <v>7655293088.3639545</v>
      </c>
      <c r="AD77" s="23">
        <v>0</v>
      </c>
    </row>
    <row r="78" spans="15:38">
      <c r="O78" s="23">
        <f>AB49</f>
        <v>0</v>
      </c>
      <c r="P78" s="23">
        <f t="shared" ref="P78:P80" si="9">AB55</f>
        <v>0</v>
      </c>
      <c r="Q78" s="23">
        <f t="shared" ref="Q78:Q80" si="10">AB51</f>
        <v>-5.4759335616873198E-2</v>
      </c>
      <c r="R78" s="23">
        <f t="shared" ref="R78:R79" si="11">AB57</f>
        <v>-6.6742473774116268E-2</v>
      </c>
      <c r="S78" s="23">
        <f>AB49</f>
        <v>0</v>
      </c>
      <c r="T78" s="23">
        <f>AB51</f>
        <v>-5.4759335616873198E-2</v>
      </c>
      <c r="U78" s="23">
        <f>AB51</f>
        <v>-5.4759335616873198E-2</v>
      </c>
      <c r="V78" s="23">
        <f>AB53</f>
        <v>-8.5349006671084818E-2</v>
      </c>
      <c r="W78" s="23">
        <f>AB51</f>
        <v>-5.4759335616873198E-2</v>
      </c>
      <c r="X78" s="23">
        <f>AB53</f>
        <v>-8.5349006671084818E-2</v>
      </c>
      <c r="Z78" s="22" t="s">
        <v>49</v>
      </c>
      <c r="AA78" s="23">
        <f t="shared" si="7"/>
        <v>-13403073039.736862</v>
      </c>
      <c r="AB78" s="23">
        <v>0</v>
      </c>
      <c r="AC78" s="31">
        <f t="shared" si="8"/>
        <v>13403073039.736862</v>
      </c>
      <c r="AD78" s="23">
        <v>0</v>
      </c>
    </row>
    <row r="79" spans="15:38">
      <c r="O79" s="23">
        <f>AB50</f>
        <v>1.2084097393126773E-2</v>
      </c>
      <c r="P79" s="23">
        <f t="shared" si="9"/>
        <v>-2.1709858999772597E-2</v>
      </c>
      <c r="Q79" s="23">
        <f t="shared" si="10"/>
        <v>-7.9735764057495932E-3</v>
      </c>
      <c r="R79" s="23">
        <f t="shared" si="11"/>
        <v>-3.7415617314523766E-2</v>
      </c>
      <c r="S79" s="23">
        <f>AB56</f>
        <v>-2.1709858999772597E-2</v>
      </c>
      <c r="T79" s="23">
        <f>AB54</f>
        <v>0</v>
      </c>
      <c r="U79" s="23">
        <f>AB58</f>
        <v>-3.7415617314523766E-2</v>
      </c>
      <c r="V79" s="23">
        <f>AB56</f>
        <v>-2.1709858999772597E-2</v>
      </c>
      <c r="W79" s="23">
        <f>AB56</f>
        <v>-2.1709858999772597E-2</v>
      </c>
      <c r="X79" s="23">
        <f>AB58</f>
        <v>-3.7415617314523766E-2</v>
      </c>
      <c r="Z79" s="22" t="s">
        <v>50</v>
      </c>
      <c r="AA79" s="23">
        <f t="shared" si="7"/>
        <v>-7655293088.3639545</v>
      </c>
      <c r="AB79" s="23">
        <v>0</v>
      </c>
      <c r="AC79" s="31">
        <f t="shared" si="8"/>
        <v>7655293088.3639545</v>
      </c>
      <c r="AD79" s="23">
        <v>0</v>
      </c>
    </row>
    <row r="80" spans="15:38">
      <c r="O80" s="23">
        <f>AB51</f>
        <v>-5.4759335616873198E-2</v>
      </c>
      <c r="P80" s="23">
        <f t="shared" si="9"/>
        <v>-6.6742473774116268E-2</v>
      </c>
      <c r="Q80" s="23">
        <f t="shared" si="10"/>
        <v>-8.5349006671084818E-2</v>
      </c>
      <c r="R80" s="23">
        <f>AB59</f>
        <v>-0.12699999999982731</v>
      </c>
      <c r="S80" s="23">
        <f>AB57</f>
        <v>-6.6742473774116268E-2</v>
      </c>
      <c r="T80" s="23">
        <f>AB55</f>
        <v>0</v>
      </c>
      <c r="U80" s="23">
        <f>AB59</f>
        <v>-0.12699999999982731</v>
      </c>
      <c r="V80" s="23">
        <f>AB57</f>
        <v>-6.6742473774116268E-2</v>
      </c>
      <c r="W80" s="23">
        <f>AB57</f>
        <v>-6.6742473774116268E-2</v>
      </c>
      <c r="X80" s="23">
        <f>AB59</f>
        <v>-0.12699999999982731</v>
      </c>
      <c r="Z80" s="22" t="s">
        <v>51</v>
      </c>
      <c r="AA80" s="23">
        <f t="shared" si="7"/>
        <v>-5413109654.7526608</v>
      </c>
      <c r="AB80" s="23">
        <v>0</v>
      </c>
      <c r="AC80" s="31">
        <f t="shared" si="8"/>
        <v>5413109654.7526608</v>
      </c>
      <c r="AD80" s="23">
        <v>0</v>
      </c>
    </row>
    <row r="81" spans="15:38">
      <c r="Z81" s="22" t="s">
        <v>64</v>
      </c>
      <c r="AA81" s="23">
        <f t="shared" si="7"/>
        <v>-5240461807.0627937</v>
      </c>
      <c r="AB81" s="23">
        <v>0</v>
      </c>
      <c r="AC81" s="31">
        <f t="shared" si="8"/>
        <v>5240461807.0627937</v>
      </c>
      <c r="AD81" s="23">
        <v>0</v>
      </c>
    </row>
    <row r="82" spans="15:38">
      <c r="O82" s="39" t="s">
        <v>84</v>
      </c>
      <c r="P82" s="39"/>
      <c r="Q82" s="39"/>
      <c r="R82" s="39"/>
      <c r="S82" s="39"/>
      <c r="T82" s="39"/>
      <c r="U82" s="39"/>
      <c r="V82" s="39"/>
      <c r="W82" s="39"/>
      <c r="X82" s="39"/>
      <c r="Z82" s="22" t="s">
        <v>65</v>
      </c>
      <c r="AA82" s="23">
        <f t="shared" si="7"/>
        <v>-6593699694.7646055</v>
      </c>
      <c r="AB82" s="23">
        <v>0</v>
      </c>
      <c r="AC82" s="31">
        <f t="shared" si="8"/>
        <v>6593699694.7646055</v>
      </c>
      <c r="AD82" s="23">
        <v>0</v>
      </c>
    </row>
    <row r="83" spans="15:38">
      <c r="O83" s="22" t="s">
        <v>85</v>
      </c>
      <c r="P83" s="22" t="s">
        <v>86</v>
      </c>
      <c r="Q83" s="22" t="s">
        <v>87</v>
      </c>
      <c r="R83" s="22" t="s">
        <v>88</v>
      </c>
      <c r="S83" s="22" t="s">
        <v>89</v>
      </c>
      <c r="T83" s="22" t="s">
        <v>90</v>
      </c>
      <c r="U83" s="22" t="s">
        <v>91</v>
      </c>
      <c r="V83" s="22" t="s">
        <v>92</v>
      </c>
      <c r="W83" s="22" t="s">
        <v>93</v>
      </c>
      <c r="X83" s="22" t="s">
        <v>94</v>
      </c>
      <c r="Z83" s="22" t="s">
        <v>66</v>
      </c>
      <c r="AA83" s="23">
        <f t="shared" si="7"/>
        <v>-10620756544.228079</v>
      </c>
      <c r="AB83" s="23">
        <v>0</v>
      </c>
      <c r="AC83" s="31">
        <f t="shared" si="8"/>
        <v>10620756544.228079</v>
      </c>
      <c r="AD83" s="23">
        <v>0</v>
      </c>
    </row>
    <row r="84" spans="15:38">
      <c r="O84" s="24">
        <f t="array" ref="O84:O87">MMULT(O64:R67,O77:O80)</f>
        <v>0</v>
      </c>
      <c r="P84" s="24">
        <f t="array" ref="P84:P87">MMULT(T64:W67,P77:P80)</f>
        <v>0</v>
      </c>
      <c r="Q84" s="24">
        <f t="array" ref="Q84:Q87">MMULT(Y64:AB67,Q77:Q80
)</f>
        <v>4.8310062467005851E-2</v>
      </c>
      <c r="R84" s="24">
        <f t="array" ref="R84:R87">MMULT(AD64:AG67,R77:R80)</f>
        <v>-2.1709858999772597E-2</v>
      </c>
      <c r="S84" s="24">
        <f t="array" ref="S84:S87">MMULT(AI64:AL67,S77:S80)</f>
        <v>0</v>
      </c>
      <c r="T84" s="24">
        <f t="array" ref="T84:T87">MMULT(O70:R73,T77:T80)</f>
        <v>2.1517029183746567E-2</v>
      </c>
      <c r="U84" s="24">
        <f t="array" ref="U84:U87">MMULT(T70:W73,U77:U80)</f>
        <v>4.7890028863193129E-2</v>
      </c>
      <c r="V84" s="24">
        <f t="array" ref="V84:V87">MMULT(Y70:AB73,V77:V80)</f>
        <v>5.6218192126427619E-2</v>
      </c>
      <c r="W84" s="24">
        <f t="array" ref="W84:W87">MMULT(AD70:AG73,W77:W80)</f>
        <v>5.0554634995726072E-2</v>
      </c>
      <c r="X84" s="24">
        <f t="array" ref="X84:X87">MMULT(AI70:AL73,X77:X80)</f>
        <v>5.5169262196572054E-2</v>
      </c>
      <c r="Z84" s="22" t="s">
        <v>67</v>
      </c>
      <c r="AA84" s="23">
        <f t="shared" si="7"/>
        <v>-8893465317.9247932</v>
      </c>
      <c r="AB84" s="23">
        <v>0</v>
      </c>
      <c r="AC84" s="31">
        <f t="shared" si="8"/>
        <v>8893465317.9247932</v>
      </c>
      <c r="AD84" s="23">
        <v>0</v>
      </c>
    </row>
    <row r="85" spans="15:38">
      <c r="O85" s="24">
        <v>0</v>
      </c>
      <c r="P85" s="24">
        <v>0</v>
      </c>
      <c r="Q85" s="24">
        <v>-2.8473638886554766E-2</v>
      </c>
      <c r="R85" s="24">
        <v>-6.6742473774116268E-2</v>
      </c>
      <c r="S85" s="24">
        <v>0</v>
      </c>
      <c r="T85" s="24">
        <v>5.1784434940566171E-2</v>
      </c>
      <c r="U85" s="24">
        <v>-2.9174567391659127E-2</v>
      </c>
      <c r="V85" s="24">
        <v>6.4711248902144358E-2</v>
      </c>
      <c r="W85" s="24">
        <v>2.4266007653852721E-2</v>
      </c>
      <c r="X85" s="24">
        <v>-6.5607799605878356E-2</v>
      </c>
      <c r="Z85" s="22" t="s">
        <v>68</v>
      </c>
      <c r="AA85" s="23">
        <f t="shared" si="7"/>
        <v>-12975931250.773874</v>
      </c>
      <c r="AB85" s="23">
        <v>0</v>
      </c>
      <c r="AC85" s="31">
        <f t="shared" si="8"/>
        <v>12975931250.773874</v>
      </c>
      <c r="AD85" s="23">
        <v>0</v>
      </c>
    </row>
    <row r="86" spans="15:38">
      <c r="O86" s="24">
        <v>1.9319867304861914E-2</v>
      </c>
      <c r="P86" s="24">
        <v>-2.1709858999772597E-2</v>
      </c>
      <c r="Q86" s="24">
        <v>5.702792659293042E-2</v>
      </c>
      <c r="R86" s="24">
        <v>-3.7415617314523766E-2</v>
      </c>
      <c r="S86" s="24">
        <v>3.1842867281499918E-2</v>
      </c>
      <c r="T86" s="24">
        <v>0</v>
      </c>
      <c r="U86" s="24">
        <v>6.5778370887106363E-2</v>
      </c>
      <c r="V86" s="24">
        <v>5.6537573905767621E-2</v>
      </c>
      <c r="W86" s="24">
        <v>6.9936161332046845E-2</v>
      </c>
      <c r="X86" s="24">
        <v>6.4150905889540755E-2</v>
      </c>
    </row>
    <row r="87" spans="15:38">
      <c r="O87" s="24">
        <v>-5.2643641347559333E-2</v>
      </c>
      <c r="P87" s="24">
        <v>-6.6742473774116268E-2</v>
      </c>
      <c r="Q87" s="24">
        <v>-6.399880037118312E-2</v>
      </c>
      <c r="R87" s="24">
        <v>-0.12699999999982731</v>
      </c>
      <c r="S87" s="24">
        <v>-6.2545244316185925E-2</v>
      </c>
      <c r="T87" s="24">
        <v>0</v>
      </c>
      <c r="U87" s="24">
        <v>-0.11490054108846182</v>
      </c>
      <c r="V87" s="24">
        <v>4.1585797096225882E-2</v>
      </c>
      <c r="W87" s="24">
        <v>-5.8999255433030227E-3</v>
      </c>
      <c r="X87" s="24">
        <v>-0.11581705268454343</v>
      </c>
    </row>
    <row r="89" spans="15:38">
      <c r="O89" s="38" t="s">
        <v>95</v>
      </c>
      <c r="P89" s="38"/>
      <c r="Q89" s="38"/>
      <c r="R89" s="38"/>
      <c r="S89" s="38"/>
      <c r="T89" s="38"/>
      <c r="U89" s="38"/>
      <c r="V89" s="38"/>
      <c r="W89" s="38"/>
      <c r="X89" s="38"/>
      <c r="Y89" s="38"/>
      <c r="Z89" s="38"/>
      <c r="AA89" s="38"/>
      <c r="AB89" s="38"/>
      <c r="AC89" s="38"/>
      <c r="AD89" s="38"/>
      <c r="AE89" s="38"/>
      <c r="AF89" s="38"/>
      <c r="AG89" s="38"/>
      <c r="AH89" s="38"/>
      <c r="AI89" s="38"/>
      <c r="AJ89" s="38"/>
      <c r="AK89" s="38"/>
      <c r="AL89" s="38"/>
    </row>
    <row r="91" spans="15:38">
      <c r="P91" s="22" t="s">
        <v>96</v>
      </c>
      <c r="Q91" s="22" t="s">
        <v>97</v>
      </c>
      <c r="R91" s="22" t="s">
        <v>98</v>
      </c>
      <c r="T91" s="11"/>
      <c r="U91" s="22" t="s">
        <v>99</v>
      </c>
    </row>
    <row r="92" spans="15:38">
      <c r="O92" s="32" t="s">
        <v>47</v>
      </c>
      <c r="P92" s="33">
        <f>MMULT(AA76:AD76,O84:O87)</f>
        <v>122492192.10999085</v>
      </c>
      <c r="Q92" s="33">
        <f>ABS(P92)</f>
        <v>122492192.10999085</v>
      </c>
      <c r="R92" s="31">
        <f>IF(Q92&lt;$M$4,0,1)</f>
        <v>0</v>
      </c>
      <c r="T92" s="22" t="s">
        <v>17</v>
      </c>
      <c r="U92" s="33">
        <f>SQRT((AB48^2)+(AB49^2))</f>
        <v>0</v>
      </c>
    </row>
    <row r="93" spans="15:38">
      <c r="O93" s="32" t="s">
        <v>48</v>
      </c>
      <c r="P93" s="33">
        <f>MMULT(AA77:AD77,P84:P87)</f>
        <v>-166195333.55031514</v>
      </c>
      <c r="Q93" s="33">
        <f t="shared" ref="Q93:Q101" si="12">ABS(P93)</f>
        <v>166195333.55031514</v>
      </c>
      <c r="R93" s="31">
        <f>IF(Q93&lt;$M$4,0,1)</f>
        <v>0</v>
      </c>
      <c r="T93" s="22" t="s">
        <v>18</v>
      </c>
      <c r="U93" s="33">
        <f>SQRT((AB50^2)+(AB51^2))</f>
        <v>5.6076824508953169E-2</v>
      </c>
    </row>
    <row r="94" spans="15:38">
      <c r="O94" s="32" t="s">
        <v>49</v>
      </c>
      <c r="P94" s="33">
        <f>MMULT(AA78:AD78,Q84:Q87)</f>
        <v>116846169.63026881</v>
      </c>
      <c r="Q94" s="33">
        <f t="shared" si="12"/>
        <v>116846169.63026881</v>
      </c>
      <c r="R94" s="31">
        <f t="shared" ref="R94:R101" si="13">IF(Q94&lt;$M$4,0,1)</f>
        <v>0</v>
      </c>
      <c r="T94" s="22" t="s">
        <v>19</v>
      </c>
      <c r="U94" s="33">
        <f>SQRT((AB52^2)+(AB53^2))</f>
        <v>8.57206559729871E-2</v>
      </c>
    </row>
    <row r="95" spans="15:38">
      <c r="O95" s="32" t="s">
        <v>50</v>
      </c>
      <c r="P95" s="33">
        <f>MMULT(AA79:AD79,R84:R87)</f>
        <v>-120232183.07442933</v>
      </c>
      <c r="Q95" s="33">
        <f t="shared" si="12"/>
        <v>120232183.07442933</v>
      </c>
      <c r="R95" s="31">
        <f t="shared" si="13"/>
        <v>0</v>
      </c>
      <c r="T95" s="22" t="s">
        <v>20</v>
      </c>
      <c r="U95" s="33">
        <f>SQRT((AB54^2)+(AB55^2))</f>
        <v>0</v>
      </c>
    </row>
    <row r="96" spans="15:38">
      <c r="O96" s="32" t="s">
        <v>51</v>
      </c>
      <c r="P96" s="33">
        <f>MMULT(AA80:AD80,S84:S87)</f>
        <v>172368932.31649482</v>
      </c>
      <c r="Q96" s="33">
        <f t="shared" si="12"/>
        <v>172368932.31649482</v>
      </c>
      <c r="R96" s="31">
        <f t="shared" si="13"/>
        <v>0</v>
      </c>
      <c r="T96" s="22" t="s">
        <v>21</v>
      </c>
      <c r="U96" s="33">
        <f>SQRT((AB56^2)+(AB57^2))</f>
        <v>7.0184583658226579E-2</v>
      </c>
    </row>
    <row r="97" spans="15:21">
      <c r="O97" s="32" t="s">
        <v>64</v>
      </c>
      <c r="P97" s="33">
        <f>MMULT(AA81:AD81,T84:T87)</f>
        <v>-112759169.6388794</v>
      </c>
      <c r="Q97" s="33">
        <f t="shared" si="12"/>
        <v>112759169.6388794</v>
      </c>
      <c r="R97" s="31">
        <f t="shared" si="13"/>
        <v>0</v>
      </c>
      <c r="T97" s="22" t="s">
        <v>22</v>
      </c>
      <c r="U97" s="33">
        <f>SQRT((AB58^2)+(AB59^2))</f>
        <v>0.1323968595510597</v>
      </c>
    </row>
    <row r="98" spans="15:21">
      <c r="O98" s="32" t="s">
        <v>65</v>
      </c>
      <c r="P98" s="33">
        <f>MMULT(AA82:AD82,U84:U87)</f>
        <v>117950355.34292156</v>
      </c>
      <c r="Q98" s="33">
        <f t="shared" si="12"/>
        <v>117950355.34292156</v>
      </c>
      <c r="R98" s="31">
        <f t="shared" si="13"/>
        <v>0</v>
      </c>
    </row>
    <row r="99" spans="15:21">
      <c r="O99" s="32" t="s">
        <v>66</v>
      </c>
      <c r="P99" s="33">
        <f>MMULT(AA83:AD83,V84:V87)</f>
        <v>3392076.1230325699</v>
      </c>
      <c r="Q99" s="33">
        <f t="shared" si="12"/>
        <v>3392076.1230325699</v>
      </c>
      <c r="R99" s="31">
        <f t="shared" si="13"/>
        <v>0</v>
      </c>
    </row>
    <row r="100" spans="15:21">
      <c r="O100" s="32" t="s">
        <v>67</v>
      </c>
      <c r="P100" s="33">
        <f>MMULT(AA84:AD84,W84:W87)</f>
        <v>172368932.28051478</v>
      </c>
      <c r="Q100" s="33">
        <f t="shared" si="12"/>
        <v>172368932.28051478</v>
      </c>
      <c r="R100" s="31">
        <f t="shared" si="13"/>
        <v>0</v>
      </c>
    </row>
    <row r="101" spans="15:21" ht="17" thickBot="1">
      <c r="O101" s="32" t="s">
        <v>68</v>
      </c>
      <c r="P101" s="33">
        <f>MMULT(AA85:AD85,X84:X87)</f>
        <v>116545191.07890868</v>
      </c>
      <c r="Q101" s="33">
        <f t="shared" si="12"/>
        <v>116545191.07890868</v>
      </c>
      <c r="R101" s="34">
        <f t="shared" si="13"/>
        <v>0</v>
      </c>
    </row>
    <row r="102" spans="15:21" ht="17" thickBot="1">
      <c r="R102" s="35">
        <f>SUM(R92:R101)</f>
        <v>0</v>
      </c>
    </row>
    <row r="104" spans="15:21">
      <c r="P104" s="22" t="s">
        <v>99</v>
      </c>
      <c r="Q104" s="22" t="s">
        <v>100</v>
      </c>
      <c r="R104" s="22" t="s">
        <v>98</v>
      </c>
    </row>
    <row r="105" spans="15:21">
      <c r="O105" s="22" t="s">
        <v>59</v>
      </c>
      <c r="P105" s="31">
        <f>AB57</f>
        <v>-6.6742473774116268E-2</v>
      </c>
      <c r="Q105" s="31">
        <f>ABS(P105)</f>
        <v>6.6742473774116268E-2</v>
      </c>
      <c r="R105" s="31">
        <f>IF(Q105&lt;M5,0,1)</f>
        <v>0</v>
      </c>
    </row>
    <row r="106" spans="15:21" ht="17" thickBot="1">
      <c r="O106" s="22" t="s">
        <v>63</v>
      </c>
      <c r="P106" s="31">
        <f>AB59</f>
        <v>-0.12699999999982731</v>
      </c>
      <c r="Q106" s="31">
        <f>ABS(P106)</f>
        <v>0.12699999999982731</v>
      </c>
      <c r="R106" s="34">
        <f>IF(Q106&lt;M5,0,1)</f>
        <v>0</v>
      </c>
    </row>
    <row r="107" spans="15:21" ht="17" thickBot="1">
      <c r="O107" s="9"/>
      <c r="P107" s="9"/>
      <c r="R107" s="35">
        <f>SUM(R105:R106)</f>
        <v>0</v>
      </c>
    </row>
    <row r="108" spans="15:21" ht="17" thickBot="1"/>
    <row r="109" spans="15:21" ht="17" thickBot="1">
      <c r="P109" s="32" t="s">
        <v>101</v>
      </c>
      <c r="Q109" s="35">
        <f>(R102+R107)*10^2</f>
        <v>0</v>
      </c>
    </row>
  </sheetData>
  <mergeCells count="31">
    <mergeCell ref="O35:Z35"/>
    <mergeCell ref="AB35:AI35"/>
    <mergeCell ref="O50:V50"/>
    <mergeCell ref="W52:W59"/>
    <mergeCell ref="O28:R28"/>
    <mergeCell ref="Y52:Y59"/>
    <mergeCell ref="O19:AL19"/>
    <mergeCell ref="T28:W28"/>
    <mergeCell ref="Y28:AB28"/>
    <mergeCell ref="AD28:AG28"/>
    <mergeCell ref="AI28:AL28"/>
    <mergeCell ref="O21:R21"/>
    <mergeCell ref="T21:W21"/>
    <mergeCell ref="Y21:AB21"/>
    <mergeCell ref="AD21:AG21"/>
    <mergeCell ref="AI21:AL21"/>
    <mergeCell ref="O61:AL61"/>
    <mergeCell ref="O75:X75"/>
    <mergeCell ref="O82:X82"/>
    <mergeCell ref="Z75:AD75"/>
    <mergeCell ref="O89:AL89"/>
    <mergeCell ref="O63:R63"/>
    <mergeCell ref="T63:W63"/>
    <mergeCell ref="Y63:AB63"/>
    <mergeCell ref="AD63:AG63"/>
    <mergeCell ref="AI63:AL63"/>
    <mergeCell ref="O69:R69"/>
    <mergeCell ref="T69:W69"/>
    <mergeCell ref="Y69:AB69"/>
    <mergeCell ref="AD69:AG69"/>
    <mergeCell ref="AI69:AL69"/>
  </mergeCells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PSO_Initialise">
                <anchor moveWithCells="1" sizeWithCells="1">
                  <from>
                    <xdr:col>0</xdr:col>
                    <xdr:colOff>431800</xdr:colOff>
                    <xdr:row>11</xdr:row>
                    <xdr:rowOff>12700</xdr:rowOff>
                  </from>
                  <to>
                    <xdr:col>2</xdr:col>
                    <xdr:colOff>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PSO_Run">
                <anchor moveWithCells="1" sizeWithCells="1">
                  <from>
                    <xdr:col>0</xdr:col>
                    <xdr:colOff>431800</xdr:colOff>
                    <xdr:row>13</xdr:row>
                    <xdr:rowOff>38100</xdr:rowOff>
                  </from>
                  <to>
                    <xdr:col>2</xdr:col>
                    <xdr:colOff>0</xdr:colOff>
                    <xdr:row>15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5" name="Button 3">
              <controlPr defaultSize="0" print="0" autoFill="0" autoPict="0" macro="[0]!PSO_Graphs">
                <anchor moveWithCells="1" sizeWithCells="1">
                  <from>
                    <xdr:col>0</xdr:col>
                    <xdr:colOff>419100</xdr:colOff>
                    <xdr:row>15</xdr:row>
                    <xdr:rowOff>63500</xdr:rowOff>
                  </from>
                  <to>
                    <xdr:col>1</xdr:col>
                    <xdr:colOff>812800</xdr:colOff>
                    <xdr:row>17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6" name="Button 4">
              <controlPr defaultSize="0" print="0" autoFill="0" autoPict="0" macro="[0]!Delete_Graphs">
                <anchor moveWithCells="1" sizeWithCells="1">
                  <from>
                    <xdr:col>0</xdr:col>
                    <xdr:colOff>431800</xdr:colOff>
                    <xdr:row>17</xdr:row>
                    <xdr:rowOff>76200</xdr:rowOff>
                  </from>
                  <to>
                    <xdr:col>2</xdr:col>
                    <xdr:colOff>0</xdr:colOff>
                    <xdr:row>19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72A5C8-BC5E-AD4C-85D8-B0808144D5C1}">
  <sheetPr codeName="Sheet4"/>
  <dimension ref="A1:L21"/>
  <sheetViews>
    <sheetView workbookViewId="0">
      <selection activeCell="I4" sqref="I4"/>
    </sheetView>
  </sheetViews>
  <sheetFormatPr baseColWidth="10" defaultRowHeight="16"/>
  <sheetData>
    <row r="1" spans="1:12">
      <c r="A1">
        <v>7.41934E-3</v>
      </c>
      <c r="B1">
        <v>7.7410202408456806E-3</v>
      </c>
      <c r="C1">
        <v>7.41934E-3</v>
      </c>
      <c r="D1">
        <v>5.1612799999999999E-3</v>
      </c>
      <c r="E1">
        <v>6.4517174476177002E-5</v>
      </c>
      <c r="F1">
        <v>3.5483799999999999E-3</v>
      </c>
      <c r="G1">
        <v>3.5596996514515897E-3</v>
      </c>
      <c r="H1">
        <v>5.1612799999999999E-3</v>
      </c>
      <c r="I1">
        <v>5.1612799999999999E-3</v>
      </c>
    </row>
    <row r="2" spans="1:12">
      <c r="A2">
        <v>5.2788590413360313E-3</v>
      </c>
      <c r="B2">
        <v>5.7835212523746496E-3</v>
      </c>
      <c r="C2" s="37">
        <f>C1*10^6</f>
        <v>7419.34</v>
      </c>
      <c r="D2" s="37">
        <f t="shared" ref="D2:I2" si="0">D1*10^6</f>
        <v>5161.28</v>
      </c>
      <c r="E2" s="36">
        <f t="shared" si="0"/>
        <v>64.517174476177004</v>
      </c>
      <c r="F2" s="37">
        <f t="shared" si="0"/>
        <v>3548.3799999999997</v>
      </c>
      <c r="G2" s="37">
        <f t="shared" si="0"/>
        <v>3559.6996514515895</v>
      </c>
      <c r="H2" s="37">
        <f t="shared" si="0"/>
        <v>5161.28</v>
      </c>
      <c r="I2" s="37">
        <f t="shared" si="0"/>
        <v>5161.28</v>
      </c>
    </row>
    <row r="3" spans="1:12">
      <c r="A3">
        <v>6.4516000000000004E-5</v>
      </c>
      <c r="B3">
        <v>4.9622017306089397E-4</v>
      </c>
      <c r="C3">
        <v>6.4516000000000004E-5</v>
      </c>
      <c r="D3">
        <v>6.4516000000000004E-5</v>
      </c>
      <c r="E3">
        <v>6.4949545832187301E-5</v>
      </c>
    </row>
    <row r="4" spans="1:12">
      <c r="A4">
        <v>3.5483799999999999E-3</v>
      </c>
      <c r="B4">
        <v>3.8904902880287171E-3</v>
      </c>
      <c r="C4" s="36">
        <f>C3*10^6</f>
        <v>64.516000000000005</v>
      </c>
      <c r="D4" s="36">
        <f t="shared" ref="D4:E4" si="1">D3*10^6</f>
        <v>64.516000000000005</v>
      </c>
      <c r="E4" s="36">
        <f t="shared" si="1"/>
        <v>64.949545832187297</v>
      </c>
      <c r="F4" s="36">
        <v>10.940859268563566</v>
      </c>
      <c r="G4" s="41">
        <v>7.6631007938234061</v>
      </c>
      <c r="H4" s="36">
        <v>14.5</v>
      </c>
      <c r="I4" s="41">
        <v>3.8409373177529282</v>
      </c>
    </row>
    <row r="5" spans="1:12">
      <c r="A5">
        <v>3.5483899562414249E-3</v>
      </c>
      <c r="B5">
        <v>3.5780589390969277E-3</v>
      </c>
    </row>
    <row r="6" spans="1:12">
      <c r="A6">
        <v>5.1612799999999999E-3</v>
      </c>
      <c r="B6">
        <v>5.7896767463207245E-3</v>
      </c>
    </row>
    <row r="7" spans="1:12">
      <c r="A7">
        <v>5.1775987348427564E-3</v>
      </c>
      <c r="B7">
        <v>5.7095815692281724E-3</v>
      </c>
    </row>
    <row r="8" spans="1:12">
      <c r="A8">
        <v>6.4516000000000004E-5</v>
      </c>
      <c r="B8">
        <v>4.5484605695724487E-4</v>
      </c>
    </row>
    <row r="9" spans="1:12">
      <c r="A9">
        <v>7.681590946718528E-5</v>
      </c>
      <c r="B9">
        <v>8.2410070738315588E-5</v>
      </c>
    </row>
    <row r="10" spans="1:12">
      <c r="A10">
        <v>6.4516000000000004E-5</v>
      </c>
      <c r="B10">
        <v>2.8140210199451444E-4</v>
      </c>
    </row>
    <row r="11" spans="1:12">
      <c r="A11">
        <v>10.759113963356576</v>
      </c>
      <c r="B11">
        <v>13.973831391334533</v>
      </c>
    </row>
    <row r="12" spans="1:12">
      <c r="A12">
        <v>7.7425359278972241</v>
      </c>
      <c r="B12">
        <v>13.663287448883057</v>
      </c>
    </row>
    <row r="13" spans="1:12">
      <c r="A13">
        <v>14.5</v>
      </c>
      <c r="B13">
        <v>15.828406522274017</v>
      </c>
      <c r="H13" s="37"/>
      <c r="I13" s="37"/>
      <c r="J13" s="36"/>
      <c r="K13" s="37"/>
      <c r="L13" s="37"/>
    </row>
    <row r="14" spans="1:12">
      <c r="A14">
        <v>4.3850522712432509</v>
      </c>
      <c r="B14">
        <v>7.0895242719650264</v>
      </c>
    </row>
    <row r="15" spans="1:12">
      <c r="A15">
        <v>922.25395952618419</v>
      </c>
      <c r="B15">
        <v>504482.94092000189</v>
      </c>
      <c r="C15">
        <v>921.58478663759024</v>
      </c>
    </row>
    <row r="18" spans="8:9">
      <c r="H18" s="37"/>
      <c r="I18" s="37"/>
    </row>
    <row r="19" spans="8:9">
      <c r="I19" s="36"/>
    </row>
    <row r="20" spans="8:9">
      <c r="I20" s="36"/>
    </row>
    <row r="21" spans="8:9">
      <c r="I21" s="3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BC1B96-2FA3-9343-8785-46D12FA3FE2E}">
  <sheetPr codeName="Sheet14"/>
  <dimension ref="A1"/>
  <sheetViews>
    <sheetView workbookViewId="0">
      <selection activeCell="C18" sqref="C18"/>
    </sheetView>
  </sheetViews>
  <sheetFormatPr baseColWidth="10" defaultRowHeight="16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0DFD97-2896-2541-968F-A7D454ADF555}">
  <sheetPr codeName="Sheet6"/>
  <dimension ref="A1:C500"/>
  <sheetViews>
    <sheetView workbookViewId="0">
      <selection activeCell="A2" sqref="A2"/>
    </sheetView>
  </sheetViews>
  <sheetFormatPr baseColWidth="10" defaultRowHeight="16"/>
  <sheetData>
    <row r="1" spans="1:3">
      <c r="A1">
        <v>1002.0446163440633</v>
      </c>
      <c r="B1">
        <v>976.44605927196267</v>
      </c>
      <c r="C1">
        <v>993.58798794440327</v>
      </c>
    </row>
    <row r="2" spans="1:3">
      <c r="A2">
        <v>992.72169777200611</v>
      </c>
      <c r="B2">
        <v>976.44605927196267</v>
      </c>
      <c r="C2">
        <v>971.56014684492982</v>
      </c>
    </row>
    <row r="3" spans="1:3">
      <c r="A3">
        <v>959.80720962287705</v>
      </c>
      <c r="B3">
        <v>976.44605927196267</v>
      </c>
      <c r="C3">
        <v>964.69426132441458</v>
      </c>
    </row>
    <row r="4" spans="1:3">
      <c r="A4">
        <v>959.80720962287705</v>
      </c>
      <c r="B4">
        <v>976.44605927196267</v>
      </c>
      <c r="C4">
        <v>958.31392629468678</v>
      </c>
    </row>
    <row r="5" spans="1:3">
      <c r="A5">
        <v>959.80720962287705</v>
      </c>
      <c r="B5">
        <v>976.44605927196267</v>
      </c>
      <c r="C5">
        <v>945.19031594123953</v>
      </c>
    </row>
    <row r="6" spans="1:3">
      <c r="A6">
        <v>956.86217444610418</v>
      </c>
      <c r="B6">
        <v>976.44605927196267</v>
      </c>
      <c r="C6">
        <v>945.19031594123953</v>
      </c>
    </row>
    <row r="7" spans="1:3">
      <c r="A7">
        <v>956.86217444610418</v>
      </c>
      <c r="B7">
        <v>976.44605927196267</v>
      </c>
      <c r="C7">
        <v>942.67739246461269</v>
      </c>
    </row>
    <row r="8" spans="1:3">
      <c r="A8">
        <v>953.79060491579571</v>
      </c>
      <c r="B8">
        <v>976.44605927196267</v>
      </c>
      <c r="C8">
        <v>942.67739246461269</v>
      </c>
    </row>
    <row r="9" spans="1:3">
      <c r="A9">
        <v>953.79060491579571</v>
      </c>
      <c r="B9">
        <v>976.44605927196267</v>
      </c>
      <c r="C9">
        <v>940.96261467128772</v>
      </c>
    </row>
    <row r="10" spans="1:3">
      <c r="A10">
        <v>953.79060491579571</v>
      </c>
      <c r="B10">
        <v>976.44605927196267</v>
      </c>
      <c r="C10">
        <v>940.96261467128772</v>
      </c>
    </row>
    <row r="11" spans="1:3">
      <c r="A11">
        <v>951.18760938877574</v>
      </c>
      <c r="B11">
        <v>976.44605927196267</v>
      </c>
      <c r="C11">
        <v>939.54612757672805</v>
      </c>
    </row>
    <row r="12" spans="1:3">
      <c r="A12">
        <v>949.16677632300855</v>
      </c>
      <c r="B12">
        <v>976.44605927196267</v>
      </c>
      <c r="C12">
        <v>936.64742133790594</v>
      </c>
    </row>
    <row r="13" spans="1:3">
      <c r="A13">
        <v>948.77626328168037</v>
      </c>
      <c r="B13">
        <v>976.44605927196267</v>
      </c>
      <c r="C13">
        <v>936.18152669261121</v>
      </c>
    </row>
    <row r="14" spans="1:3">
      <c r="A14">
        <v>946.91282064240454</v>
      </c>
      <c r="B14">
        <v>976.44605927196267</v>
      </c>
      <c r="C14">
        <v>934.70401752843566</v>
      </c>
    </row>
    <row r="15" spans="1:3">
      <c r="A15">
        <v>946.15971592348478</v>
      </c>
      <c r="B15">
        <v>976.44605927196267</v>
      </c>
      <c r="C15">
        <v>934.0381382615351</v>
      </c>
    </row>
    <row r="16" spans="1:3">
      <c r="A16">
        <v>944.50137602817517</v>
      </c>
      <c r="B16">
        <v>976.44605927196267</v>
      </c>
      <c r="C16">
        <v>932.53602599296698</v>
      </c>
    </row>
    <row r="17" spans="1:3">
      <c r="A17">
        <v>940.91829623269155</v>
      </c>
      <c r="B17">
        <v>976.44605927196267</v>
      </c>
      <c r="C17">
        <v>930.77465737510715</v>
      </c>
    </row>
    <row r="18" spans="1:3">
      <c r="A18">
        <v>937.74250903385337</v>
      </c>
      <c r="B18">
        <v>976.44605927196267</v>
      </c>
      <c r="C18">
        <v>930.77465737510715</v>
      </c>
    </row>
    <row r="19" spans="1:3">
      <c r="A19">
        <v>937.74250903385337</v>
      </c>
      <c r="B19">
        <v>976.44605927196267</v>
      </c>
      <c r="C19">
        <v>930.01584140517798</v>
      </c>
    </row>
    <row r="20" spans="1:3">
      <c r="A20">
        <v>937.74250903385337</v>
      </c>
      <c r="B20">
        <v>976.44605927196267</v>
      </c>
      <c r="C20">
        <v>930.01584140517798</v>
      </c>
    </row>
    <row r="21" spans="1:3">
      <c r="A21">
        <v>937.53056854947704</v>
      </c>
      <c r="B21">
        <v>976.44605927196267</v>
      </c>
      <c r="C21">
        <v>929.96297293982968</v>
      </c>
    </row>
    <row r="22" spans="1:3">
      <c r="A22">
        <v>937.53056854947704</v>
      </c>
      <c r="B22">
        <v>976.44605927196267</v>
      </c>
      <c r="C22">
        <v>929.96297293982968</v>
      </c>
    </row>
    <row r="23" spans="1:3">
      <c r="A23">
        <v>937.53056854947704</v>
      </c>
      <c r="B23">
        <v>976.44605927196267</v>
      </c>
      <c r="C23">
        <v>929.96297293982968</v>
      </c>
    </row>
    <row r="24" spans="1:3">
      <c r="A24">
        <v>937.53056854947704</v>
      </c>
      <c r="B24">
        <v>976.44605927196267</v>
      </c>
      <c r="C24">
        <v>929.96297293982968</v>
      </c>
    </row>
    <row r="25" spans="1:3">
      <c r="A25">
        <v>937.53056854947704</v>
      </c>
      <c r="B25">
        <v>976.44605927196267</v>
      </c>
      <c r="C25">
        <v>929.96297293982968</v>
      </c>
    </row>
    <row r="26" spans="1:3">
      <c r="A26">
        <v>937.53056854947704</v>
      </c>
      <c r="B26">
        <v>976.44605927196267</v>
      </c>
      <c r="C26">
        <v>929.96297293982968</v>
      </c>
    </row>
    <row r="27" spans="1:3">
      <c r="A27">
        <v>937.53056854947704</v>
      </c>
      <c r="B27">
        <v>976.44605927196267</v>
      </c>
      <c r="C27">
        <v>929.88233703325841</v>
      </c>
    </row>
    <row r="28" spans="1:3">
      <c r="A28">
        <v>937.53056854947704</v>
      </c>
      <c r="B28">
        <v>976.44605927196267</v>
      </c>
      <c r="C28">
        <v>929.88233703325841</v>
      </c>
    </row>
    <row r="29" spans="1:3">
      <c r="A29">
        <v>937.52059958292216</v>
      </c>
      <c r="B29">
        <v>976.44605927196267</v>
      </c>
      <c r="C29">
        <v>929.83168816117063</v>
      </c>
    </row>
    <row r="30" spans="1:3">
      <c r="A30">
        <v>937.52059958292216</v>
      </c>
      <c r="B30">
        <v>976.44605927196267</v>
      </c>
      <c r="C30">
        <v>929.83168816117063</v>
      </c>
    </row>
    <row r="31" spans="1:3">
      <c r="A31">
        <v>937.20568035725955</v>
      </c>
      <c r="B31">
        <v>976.44605927196267</v>
      </c>
      <c r="C31">
        <v>929.82696520996308</v>
      </c>
    </row>
    <row r="32" spans="1:3">
      <c r="A32">
        <v>936.22623236543791</v>
      </c>
      <c r="B32">
        <v>976.44605927196267</v>
      </c>
      <c r="C32">
        <v>929.7083345656614</v>
      </c>
    </row>
    <row r="33" spans="1:3">
      <c r="A33">
        <v>935.42540653804872</v>
      </c>
      <c r="B33">
        <v>976.44605927196267</v>
      </c>
      <c r="C33">
        <v>929.7083345656614</v>
      </c>
    </row>
    <row r="34" spans="1:3">
      <c r="A34">
        <v>934.52164155204241</v>
      </c>
      <c r="B34">
        <v>976.44605927196267</v>
      </c>
      <c r="C34">
        <v>929.6956717288042</v>
      </c>
    </row>
    <row r="35" spans="1:3">
      <c r="A35">
        <v>933.97350943519621</v>
      </c>
      <c r="B35">
        <v>976.44605927196267</v>
      </c>
      <c r="C35">
        <v>929.6956717288042</v>
      </c>
    </row>
    <row r="36" spans="1:3">
      <c r="A36">
        <v>933.60712727509281</v>
      </c>
      <c r="B36">
        <v>976.44605927196267</v>
      </c>
      <c r="C36">
        <v>929.67698731491453</v>
      </c>
    </row>
    <row r="37" spans="1:3">
      <c r="A37">
        <v>932.40798854445961</v>
      </c>
      <c r="B37">
        <v>976.44605927196267</v>
      </c>
      <c r="C37">
        <v>929.60758089289141</v>
      </c>
    </row>
    <row r="38" spans="1:3">
      <c r="A38">
        <v>930.76038425266688</v>
      </c>
      <c r="B38">
        <v>976.44605927196267</v>
      </c>
      <c r="C38">
        <v>929.60758089289141</v>
      </c>
    </row>
    <row r="39" spans="1:3">
      <c r="A39">
        <v>929.83098946143468</v>
      </c>
      <c r="B39">
        <v>976.44605927196267</v>
      </c>
      <c r="C39">
        <v>929.60758089289141</v>
      </c>
    </row>
    <row r="40" spans="1:3">
      <c r="A40">
        <v>928.72418909241526</v>
      </c>
      <c r="B40">
        <v>976.44605927196267</v>
      </c>
      <c r="C40">
        <v>929.50651045075801</v>
      </c>
    </row>
    <row r="41" spans="1:3">
      <c r="A41">
        <v>928.26367328542631</v>
      </c>
      <c r="B41">
        <v>976.44605927196267</v>
      </c>
      <c r="C41">
        <v>929.50651045075801</v>
      </c>
    </row>
    <row r="42" spans="1:3">
      <c r="A42">
        <v>927.97013232581173</v>
      </c>
      <c r="B42">
        <v>976.44605927196267</v>
      </c>
      <c r="C42">
        <v>929.33931728791595</v>
      </c>
    </row>
    <row r="43" spans="1:3">
      <c r="A43">
        <v>927.5496005382297</v>
      </c>
      <c r="B43">
        <v>976.44605927196267</v>
      </c>
      <c r="C43">
        <v>929.15122276007207</v>
      </c>
    </row>
    <row r="44" spans="1:3">
      <c r="A44">
        <v>927.38408408479927</v>
      </c>
      <c r="B44">
        <v>976.44605927196267</v>
      </c>
      <c r="C44">
        <v>929.15122276007207</v>
      </c>
    </row>
    <row r="45" spans="1:3">
      <c r="A45">
        <v>927.38408408479927</v>
      </c>
      <c r="B45">
        <v>976.44605927196267</v>
      </c>
      <c r="C45">
        <v>929.15122276007207</v>
      </c>
    </row>
    <row r="46" spans="1:3">
      <c r="A46">
        <v>927.01025005697363</v>
      </c>
      <c r="B46">
        <v>976.44605927196267</v>
      </c>
      <c r="C46">
        <v>929.13387601061459</v>
      </c>
    </row>
    <row r="47" spans="1:3">
      <c r="A47">
        <v>926.8769261801142</v>
      </c>
      <c r="B47">
        <v>976.44605927196267</v>
      </c>
      <c r="C47">
        <v>928.90862133219025</v>
      </c>
    </row>
    <row r="48" spans="1:3">
      <c r="A48">
        <v>925.64169164136979</v>
      </c>
      <c r="B48">
        <v>976.44605927196267</v>
      </c>
      <c r="C48">
        <v>928.90202526266012</v>
      </c>
    </row>
    <row r="49" spans="1:3">
      <c r="A49">
        <v>925.64169164136979</v>
      </c>
      <c r="B49">
        <v>976.44605927196267</v>
      </c>
      <c r="C49">
        <v>928.7566927500136</v>
      </c>
    </row>
    <row r="50" spans="1:3">
      <c r="A50">
        <v>925.45008353067954</v>
      </c>
      <c r="B50">
        <v>976.44605927196267</v>
      </c>
      <c r="C50">
        <v>928.46690485139402</v>
      </c>
    </row>
    <row r="51" spans="1:3">
      <c r="A51">
        <v>925.45008353067954</v>
      </c>
      <c r="B51">
        <v>976.44605927196267</v>
      </c>
      <c r="C51">
        <v>927.83261890890697</v>
      </c>
    </row>
    <row r="52" spans="1:3">
      <c r="A52">
        <v>925.45008353067954</v>
      </c>
      <c r="B52">
        <v>976.44605927196267</v>
      </c>
      <c r="C52">
        <v>927.08254692732214</v>
      </c>
    </row>
    <row r="53" spans="1:3">
      <c r="A53">
        <v>925.45008353067954</v>
      </c>
      <c r="B53">
        <v>976.44605927196267</v>
      </c>
      <c r="C53">
        <v>926.59597064065417</v>
      </c>
    </row>
    <row r="54" spans="1:3">
      <c r="A54">
        <v>925.45008353067954</v>
      </c>
      <c r="B54">
        <v>976.44605927196267</v>
      </c>
      <c r="C54">
        <v>926.38999266876306</v>
      </c>
    </row>
    <row r="55" spans="1:3">
      <c r="A55">
        <v>924.90138566301346</v>
      </c>
      <c r="B55">
        <v>976.44605927196267</v>
      </c>
      <c r="C55">
        <v>926.18539433590831</v>
      </c>
    </row>
    <row r="56" spans="1:3">
      <c r="A56">
        <v>924.90138566301346</v>
      </c>
      <c r="B56">
        <v>976.44605927196267</v>
      </c>
      <c r="C56">
        <v>925.92224428958195</v>
      </c>
    </row>
    <row r="57" spans="1:3">
      <c r="A57">
        <v>924.90138566301346</v>
      </c>
      <c r="B57">
        <v>976.44605927196267</v>
      </c>
      <c r="C57">
        <v>925.92224428958195</v>
      </c>
    </row>
    <row r="58" spans="1:3">
      <c r="A58">
        <v>924.90138566301346</v>
      </c>
      <c r="B58">
        <v>976.44605927196267</v>
      </c>
      <c r="C58">
        <v>925.4329186802139</v>
      </c>
    </row>
    <row r="59" spans="1:3">
      <c r="A59">
        <v>924.90138566301346</v>
      </c>
      <c r="B59">
        <v>976.44605927196267</v>
      </c>
      <c r="C59">
        <v>925.10922318484165</v>
      </c>
    </row>
    <row r="60" spans="1:3">
      <c r="A60">
        <v>924.90138566301346</v>
      </c>
      <c r="B60">
        <v>976.44605927196267</v>
      </c>
      <c r="C60">
        <v>924.75548802493904</v>
      </c>
    </row>
    <row r="61" spans="1:3">
      <c r="A61">
        <v>924.73066678859129</v>
      </c>
      <c r="B61">
        <v>976.44605927196267</v>
      </c>
      <c r="C61">
        <v>924.25562013729404</v>
      </c>
    </row>
    <row r="62" spans="1:3">
      <c r="A62">
        <v>924.55335955921657</v>
      </c>
      <c r="B62">
        <v>976.44605927196267</v>
      </c>
      <c r="C62">
        <v>924.10740814312328</v>
      </c>
    </row>
    <row r="63" spans="1:3">
      <c r="A63">
        <v>924.33059286136518</v>
      </c>
      <c r="B63">
        <v>976.44605927196267</v>
      </c>
      <c r="C63">
        <v>924.10740814312328</v>
      </c>
    </row>
    <row r="64" spans="1:3">
      <c r="A64">
        <v>923.83293687779008</v>
      </c>
      <c r="B64">
        <v>976.44605927196267</v>
      </c>
      <c r="C64">
        <v>923.84713943752456</v>
      </c>
    </row>
    <row r="65" spans="1:3">
      <c r="A65">
        <v>923.83293687779008</v>
      </c>
      <c r="B65">
        <v>976.44605927196267</v>
      </c>
      <c r="C65">
        <v>923.83763235043023</v>
      </c>
    </row>
    <row r="66" spans="1:3">
      <c r="A66">
        <v>923.60755347899601</v>
      </c>
      <c r="B66">
        <v>976.44605927196267</v>
      </c>
      <c r="C66">
        <v>923.39252491886464</v>
      </c>
    </row>
    <row r="67" spans="1:3">
      <c r="A67">
        <v>923.60755347899601</v>
      </c>
      <c r="B67">
        <v>976.44605927196267</v>
      </c>
      <c r="C67">
        <v>923.17899935893774</v>
      </c>
    </row>
    <row r="68" spans="1:3">
      <c r="A68">
        <v>923.60755347899601</v>
      </c>
      <c r="B68">
        <v>976.44605927196267</v>
      </c>
      <c r="C68">
        <v>923.17899935893774</v>
      </c>
    </row>
    <row r="69" spans="1:3">
      <c r="A69">
        <v>923.60755347899601</v>
      </c>
      <c r="B69">
        <v>976.44605927196267</v>
      </c>
      <c r="C69">
        <v>923.17899935893774</v>
      </c>
    </row>
    <row r="70" spans="1:3">
      <c r="A70">
        <v>923.60755347899601</v>
      </c>
      <c r="B70">
        <v>976.44605927196267</v>
      </c>
      <c r="C70">
        <v>923.17899935893774</v>
      </c>
    </row>
    <row r="71" spans="1:3">
      <c r="A71">
        <v>923.60755347899601</v>
      </c>
      <c r="B71">
        <v>976.44605927196267</v>
      </c>
      <c r="C71">
        <v>923.16133201982177</v>
      </c>
    </row>
    <row r="72" spans="1:3">
      <c r="A72">
        <v>923.57805208418017</v>
      </c>
      <c r="B72">
        <v>976.44605927196267</v>
      </c>
      <c r="C72">
        <v>923.00194227929342</v>
      </c>
    </row>
    <row r="73" spans="1:3">
      <c r="A73">
        <v>923.57805208418017</v>
      </c>
      <c r="B73">
        <v>976.44605927196267</v>
      </c>
      <c r="C73">
        <v>923.00194227929342</v>
      </c>
    </row>
    <row r="74" spans="1:3">
      <c r="A74">
        <v>923.57805208418017</v>
      </c>
      <c r="B74">
        <v>976.44605927196267</v>
      </c>
      <c r="C74">
        <v>923.00194227929342</v>
      </c>
    </row>
    <row r="75" spans="1:3">
      <c r="A75">
        <v>923.57805208418017</v>
      </c>
      <c r="B75">
        <v>976.44605927196267</v>
      </c>
      <c r="C75">
        <v>923.00194227929342</v>
      </c>
    </row>
    <row r="76" spans="1:3">
      <c r="A76">
        <v>923.53165357248645</v>
      </c>
      <c r="B76">
        <v>976.44605927196267</v>
      </c>
      <c r="C76">
        <v>922.94523701961191</v>
      </c>
    </row>
    <row r="77" spans="1:3">
      <c r="A77">
        <v>923.53165357248645</v>
      </c>
      <c r="B77">
        <v>976.44605927196267</v>
      </c>
      <c r="C77">
        <v>922.91782065407392</v>
      </c>
    </row>
    <row r="78" spans="1:3">
      <c r="A78">
        <v>923.43252099579342</v>
      </c>
      <c r="B78">
        <v>976.44605927196267</v>
      </c>
      <c r="C78">
        <v>922.82140477872395</v>
      </c>
    </row>
    <row r="79" spans="1:3">
      <c r="A79">
        <v>923.43252099579342</v>
      </c>
      <c r="B79">
        <v>976.44605927196267</v>
      </c>
      <c r="C79">
        <v>922.82140477872395</v>
      </c>
    </row>
    <row r="80" spans="1:3">
      <c r="A80">
        <v>923.43252099579342</v>
      </c>
      <c r="B80">
        <v>976.44605927196267</v>
      </c>
      <c r="C80">
        <v>922.76423497607368</v>
      </c>
    </row>
    <row r="81" spans="1:3">
      <c r="A81">
        <v>923.43252099579342</v>
      </c>
      <c r="B81">
        <v>976.44605927196267</v>
      </c>
      <c r="C81">
        <v>922.63359132529911</v>
      </c>
    </row>
    <row r="82" spans="1:3">
      <c r="A82">
        <v>923.39122618258739</v>
      </c>
      <c r="B82">
        <v>976.44605927196267</v>
      </c>
      <c r="C82">
        <v>922.45242306615864</v>
      </c>
    </row>
    <row r="83" spans="1:3">
      <c r="A83">
        <v>923.28496231113593</v>
      </c>
      <c r="B83">
        <v>976.44605927196267</v>
      </c>
      <c r="C83">
        <v>922.45242306615864</v>
      </c>
    </row>
    <row r="84" spans="1:3">
      <c r="A84">
        <v>923.28496231113593</v>
      </c>
      <c r="B84">
        <v>976.44605927196267</v>
      </c>
      <c r="C84">
        <v>922.34434544754652</v>
      </c>
    </row>
    <row r="85" spans="1:3">
      <c r="A85">
        <v>923.12626091170353</v>
      </c>
      <c r="B85">
        <v>976.44605927196267</v>
      </c>
      <c r="C85">
        <v>922.21864289271446</v>
      </c>
    </row>
    <row r="86" spans="1:3">
      <c r="A86">
        <v>922.95208600805699</v>
      </c>
      <c r="B86">
        <v>976.44605927196267</v>
      </c>
      <c r="C86">
        <v>922.09754411189101</v>
      </c>
    </row>
    <row r="87" spans="1:3">
      <c r="A87">
        <v>922.95208600805699</v>
      </c>
      <c r="B87">
        <v>976.44605927196267</v>
      </c>
      <c r="C87">
        <v>922.09754411189101</v>
      </c>
    </row>
    <row r="88" spans="1:3">
      <c r="A88">
        <v>922.95208600805699</v>
      </c>
      <c r="B88">
        <v>976.44605927196267</v>
      </c>
      <c r="C88">
        <v>922.0343609686779</v>
      </c>
    </row>
    <row r="89" spans="1:3">
      <c r="A89">
        <v>922.95208600805699</v>
      </c>
      <c r="B89">
        <v>976.44605927196267</v>
      </c>
      <c r="C89">
        <v>922.0343609686779</v>
      </c>
    </row>
    <row r="90" spans="1:3">
      <c r="A90">
        <v>922.95208600805699</v>
      </c>
      <c r="B90">
        <v>976.44605927196267</v>
      </c>
      <c r="C90">
        <v>921.9798554174439</v>
      </c>
    </row>
    <row r="91" spans="1:3">
      <c r="A91">
        <v>922.95208600805699</v>
      </c>
      <c r="B91">
        <v>976.44605927196267</v>
      </c>
      <c r="C91">
        <v>921.9798554174439</v>
      </c>
    </row>
    <row r="92" spans="1:3">
      <c r="A92">
        <v>922.95208600805699</v>
      </c>
      <c r="B92">
        <v>976.44605927196267</v>
      </c>
      <c r="C92">
        <v>921.9798554174439</v>
      </c>
    </row>
    <row r="93" spans="1:3">
      <c r="A93">
        <v>922.95208600805699</v>
      </c>
      <c r="B93">
        <v>976.44605927196267</v>
      </c>
      <c r="C93">
        <v>921.9798554174439</v>
      </c>
    </row>
    <row r="94" spans="1:3">
      <c r="A94">
        <v>922.95208600805699</v>
      </c>
      <c r="B94">
        <v>976.44605927196267</v>
      </c>
      <c r="C94">
        <v>921.95526624131378</v>
      </c>
    </row>
    <row r="95" spans="1:3">
      <c r="A95">
        <v>922.95208600805699</v>
      </c>
      <c r="B95">
        <v>976.44605927196267</v>
      </c>
      <c r="C95">
        <v>921.89821315940947</v>
      </c>
    </row>
    <row r="96" spans="1:3">
      <c r="A96">
        <v>922.95208600805699</v>
      </c>
      <c r="B96">
        <v>976.44605927196267</v>
      </c>
      <c r="C96">
        <v>921.84163565936046</v>
      </c>
    </row>
    <row r="97" spans="1:3">
      <c r="A97">
        <v>922.95208600805699</v>
      </c>
      <c r="B97">
        <v>976.44605927196267</v>
      </c>
      <c r="C97">
        <v>921.84163565936046</v>
      </c>
    </row>
    <row r="98" spans="1:3">
      <c r="A98">
        <v>922.78821602660514</v>
      </c>
      <c r="B98">
        <v>976.44605927196267</v>
      </c>
      <c r="C98">
        <v>921.81812834514881</v>
      </c>
    </row>
    <row r="99" spans="1:3">
      <c r="A99">
        <v>922.78821602660514</v>
      </c>
      <c r="B99">
        <v>976.44605927196267</v>
      </c>
      <c r="C99">
        <v>921.69846562824785</v>
      </c>
    </row>
    <row r="100" spans="1:3">
      <c r="A100">
        <v>922.78821602660514</v>
      </c>
      <c r="B100">
        <v>976.44605927196267</v>
      </c>
      <c r="C100">
        <v>921.69846562824785</v>
      </c>
    </row>
    <row r="101" spans="1:3">
      <c r="A101">
        <v>922.78821602660514</v>
      </c>
      <c r="B101">
        <v>976.44605927196267</v>
      </c>
      <c r="C101">
        <v>921.68498487774355</v>
      </c>
    </row>
    <row r="102" spans="1:3">
      <c r="A102">
        <v>922.59220763194458</v>
      </c>
      <c r="B102">
        <v>976.44605927196267</v>
      </c>
      <c r="C102">
        <v>921.68498487774355</v>
      </c>
    </row>
    <row r="103" spans="1:3">
      <c r="A103">
        <v>922.59220763194458</v>
      </c>
      <c r="B103">
        <v>976.44605927196267</v>
      </c>
      <c r="C103">
        <v>921.68498487774355</v>
      </c>
    </row>
    <row r="104" spans="1:3">
      <c r="A104">
        <v>922.59220763194458</v>
      </c>
      <c r="B104">
        <v>976.44605927196267</v>
      </c>
      <c r="C104">
        <v>921.68498487774355</v>
      </c>
    </row>
    <row r="105" spans="1:3">
      <c r="A105">
        <v>922.59220763194458</v>
      </c>
      <c r="B105">
        <v>976.44605927196267</v>
      </c>
      <c r="C105">
        <v>921.68498487774355</v>
      </c>
    </row>
    <row r="106" spans="1:3">
      <c r="A106">
        <v>922.59220763194458</v>
      </c>
      <c r="B106">
        <v>976.44605927196267</v>
      </c>
      <c r="C106">
        <v>921.68498487774355</v>
      </c>
    </row>
    <row r="107" spans="1:3">
      <c r="A107">
        <v>922.59220763194458</v>
      </c>
      <c r="B107">
        <v>976.44605927196267</v>
      </c>
      <c r="C107">
        <v>921.68498487774355</v>
      </c>
    </row>
    <row r="108" spans="1:3">
      <c r="A108">
        <v>922.59220763194458</v>
      </c>
      <c r="B108">
        <v>976.44605927196267</v>
      </c>
      <c r="C108">
        <v>921.68498487774355</v>
      </c>
    </row>
    <row r="109" spans="1:3">
      <c r="A109">
        <v>922.59220763194458</v>
      </c>
      <c r="B109">
        <v>976.44605927196267</v>
      </c>
      <c r="C109">
        <v>921.68498487774355</v>
      </c>
    </row>
    <row r="110" spans="1:3">
      <c r="A110">
        <v>922.59220763194458</v>
      </c>
      <c r="B110">
        <v>976.44605927196267</v>
      </c>
      <c r="C110">
        <v>921.68498487774355</v>
      </c>
    </row>
    <row r="111" spans="1:3">
      <c r="A111">
        <v>922.58585814985986</v>
      </c>
      <c r="B111">
        <v>976.44605927196267</v>
      </c>
      <c r="C111">
        <v>921.67651208472898</v>
      </c>
    </row>
    <row r="112" spans="1:3">
      <c r="A112">
        <v>922.56162583435685</v>
      </c>
      <c r="B112">
        <v>976.44605927196267</v>
      </c>
      <c r="C112">
        <v>921.66497307749887</v>
      </c>
    </row>
    <row r="113" spans="1:3">
      <c r="A113">
        <v>922.55687215304602</v>
      </c>
      <c r="B113">
        <v>976.44605927196267</v>
      </c>
      <c r="C113">
        <v>921.66497307749887</v>
      </c>
    </row>
    <row r="114" spans="1:3">
      <c r="A114">
        <v>922.55687215304602</v>
      </c>
      <c r="B114">
        <v>976.44605927196267</v>
      </c>
      <c r="C114">
        <v>921.62513681098869</v>
      </c>
    </row>
    <row r="115" spans="1:3">
      <c r="A115">
        <v>922.4948218739238</v>
      </c>
      <c r="B115">
        <v>976.44605927196267</v>
      </c>
      <c r="C115">
        <v>921.62513681098869</v>
      </c>
    </row>
    <row r="116" spans="1:3">
      <c r="A116">
        <v>922.4948218739238</v>
      </c>
      <c r="B116">
        <v>976.44605927196267</v>
      </c>
      <c r="C116">
        <v>921.62513681098869</v>
      </c>
    </row>
    <row r="117" spans="1:3">
      <c r="A117">
        <v>922.4948218739238</v>
      </c>
      <c r="B117">
        <v>976.44605927196267</v>
      </c>
      <c r="C117">
        <v>921.62513681098869</v>
      </c>
    </row>
    <row r="118" spans="1:3">
      <c r="A118">
        <v>922.4920113641432</v>
      </c>
      <c r="B118">
        <v>976.44605927196267</v>
      </c>
      <c r="C118">
        <v>921.62513681098869</v>
      </c>
    </row>
    <row r="119" spans="1:3">
      <c r="A119">
        <v>922.4920113641432</v>
      </c>
      <c r="B119">
        <v>976.44605927196267</v>
      </c>
      <c r="C119">
        <v>921.62513681098869</v>
      </c>
    </row>
    <row r="120" spans="1:3">
      <c r="A120">
        <v>922.4920113641432</v>
      </c>
      <c r="B120">
        <v>976.44605927196267</v>
      </c>
      <c r="C120">
        <v>921.62513681098869</v>
      </c>
    </row>
    <row r="121" spans="1:3">
      <c r="A121">
        <v>922.4920113641432</v>
      </c>
      <c r="B121">
        <v>976.44605927196267</v>
      </c>
      <c r="C121">
        <v>921.62513681098869</v>
      </c>
    </row>
    <row r="122" spans="1:3">
      <c r="A122">
        <v>922.48337339839031</v>
      </c>
      <c r="B122">
        <v>976.44605927196267</v>
      </c>
      <c r="C122">
        <v>921.62513681098869</v>
      </c>
    </row>
    <row r="123" spans="1:3">
      <c r="A123">
        <v>922.47888387892192</v>
      </c>
      <c r="B123">
        <v>976.44605927196267</v>
      </c>
      <c r="C123">
        <v>921.62513681098869</v>
      </c>
    </row>
    <row r="124" spans="1:3">
      <c r="A124">
        <v>922.42345470835744</v>
      </c>
      <c r="B124">
        <v>976.44605927196267</v>
      </c>
      <c r="C124">
        <v>921.62513681098869</v>
      </c>
    </row>
    <row r="125" spans="1:3">
      <c r="A125">
        <v>922.42345470835744</v>
      </c>
      <c r="B125">
        <v>976.44605927196267</v>
      </c>
      <c r="C125">
        <v>921.62461159396548</v>
      </c>
    </row>
    <row r="126" spans="1:3">
      <c r="A126">
        <v>922.42243202242912</v>
      </c>
      <c r="B126">
        <v>976.44605927196267</v>
      </c>
      <c r="C126">
        <v>921.62461159396548</v>
      </c>
    </row>
    <row r="127" spans="1:3">
      <c r="A127">
        <v>922.42243202242912</v>
      </c>
      <c r="B127">
        <v>976.44605927196267</v>
      </c>
      <c r="C127">
        <v>921.61568233936521</v>
      </c>
    </row>
    <row r="128" spans="1:3">
      <c r="A128">
        <v>922.42243202242912</v>
      </c>
      <c r="B128">
        <v>976.44605927196267</v>
      </c>
      <c r="C128">
        <v>921.61568233936521</v>
      </c>
    </row>
    <row r="129" spans="1:3">
      <c r="A129">
        <v>922.40336178216307</v>
      </c>
      <c r="B129">
        <v>976.44605927196267</v>
      </c>
      <c r="C129">
        <v>921.60617208457188</v>
      </c>
    </row>
    <row r="130" spans="1:3">
      <c r="A130">
        <v>922.40336178216307</v>
      </c>
      <c r="B130">
        <v>976.44605927196267</v>
      </c>
      <c r="C130">
        <v>921.60617208457188</v>
      </c>
    </row>
    <row r="131" spans="1:3">
      <c r="A131">
        <v>922.40336178216307</v>
      </c>
      <c r="B131">
        <v>976.44605927196267</v>
      </c>
      <c r="C131">
        <v>921.60617208457188</v>
      </c>
    </row>
    <row r="132" spans="1:3">
      <c r="A132">
        <v>922.40336178216307</v>
      </c>
      <c r="B132">
        <v>976.44605927196267</v>
      </c>
      <c r="C132">
        <v>921.60617208457188</v>
      </c>
    </row>
    <row r="133" spans="1:3">
      <c r="A133">
        <v>922.40336178216307</v>
      </c>
      <c r="B133">
        <v>976.44605927196267</v>
      </c>
      <c r="C133">
        <v>921.60617208457188</v>
      </c>
    </row>
    <row r="134" spans="1:3">
      <c r="A134">
        <v>922.40336178216307</v>
      </c>
      <c r="B134">
        <v>976.44605927196267</v>
      </c>
      <c r="C134">
        <v>921.60617208457188</v>
      </c>
    </row>
    <row r="135" spans="1:3">
      <c r="A135">
        <v>922.40336178216307</v>
      </c>
      <c r="B135">
        <v>976.44605927196267</v>
      </c>
      <c r="C135">
        <v>921.60519197794918</v>
      </c>
    </row>
    <row r="136" spans="1:3">
      <c r="A136">
        <v>922.392663284587</v>
      </c>
      <c r="B136">
        <v>976.44605927196267</v>
      </c>
      <c r="C136">
        <v>921.5999662758345</v>
      </c>
    </row>
    <row r="137" spans="1:3">
      <c r="A137">
        <v>922.35097610984462</v>
      </c>
      <c r="B137">
        <v>976.44605927196267</v>
      </c>
      <c r="C137">
        <v>921.59871328533939</v>
      </c>
    </row>
    <row r="138" spans="1:3">
      <c r="A138">
        <v>922.35097610984462</v>
      </c>
      <c r="B138">
        <v>976.44605927196267</v>
      </c>
      <c r="C138">
        <v>921.59789014959551</v>
      </c>
    </row>
    <row r="139" spans="1:3">
      <c r="A139">
        <v>922.33706291868475</v>
      </c>
      <c r="B139">
        <v>976.44605927196267</v>
      </c>
      <c r="C139">
        <v>921.59413692324006</v>
      </c>
    </row>
    <row r="140" spans="1:3">
      <c r="A140">
        <v>922.33706291868475</v>
      </c>
      <c r="B140">
        <v>976.44605927196267</v>
      </c>
      <c r="C140">
        <v>921.59413692324006</v>
      </c>
    </row>
    <row r="141" spans="1:3">
      <c r="A141">
        <v>922.31430365872018</v>
      </c>
      <c r="B141">
        <v>976.44605927196267</v>
      </c>
      <c r="C141">
        <v>921.59413692324006</v>
      </c>
    </row>
    <row r="142" spans="1:3">
      <c r="A142">
        <v>922.31430365872018</v>
      </c>
      <c r="B142">
        <v>976.44605927196267</v>
      </c>
      <c r="C142">
        <v>921.59413692324006</v>
      </c>
    </row>
    <row r="143" spans="1:3">
      <c r="A143">
        <v>922.31430365872018</v>
      </c>
      <c r="B143">
        <v>976.44605927196267</v>
      </c>
      <c r="C143">
        <v>921.59413692324006</v>
      </c>
    </row>
    <row r="144" spans="1:3">
      <c r="A144">
        <v>922.31430365872018</v>
      </c>
      <c r="B144">
        <v>976.44605927196267</v>
      </c>
      <c r="C144">
        <v>921.59413692324006</v>
      </c>
    </row>
    <row r="145" spans="1:3">
      <c r="A145">
        <v>922.31430365872018</v>
      </c>
      <c r="B145">
        <v>976.44605927196267</v>
      </c>
      <c r="C145">
        <v>921.59413692324006</v>
      </c>
    </row>
    <row r="146" spans="1:3">
      <c r="A146">
        <v>922.31430365872018</v>
      </c>
      <c r="B146">
        <v>976.44605927196267</v>
      </c>
      <c r="C146">
        <v>921.59413692324006</v>
      </c>
    </row>
    <row r="147" spans="1:3">
      <c r="A147">
        <v>922.31430365872018</v>
      </c>
      <c r="B147">
        <v>976.44605927196267</v>
      </c>
      <c r="C147">
        <v>921.59413692324006</v>
      </c>
    </row>
    <row r="148" spans="1:3">
      <c r="A148">
        <v>922.30820234104351</v>
      </c>
      <c r="B148">
        <v>976.44605927196267</v>
      </c>
      <c r="C148">
        <v>921.59413692324006</v>
      </c>
    </row>
    <row r="149" spans="1:3">
      <c r="A149">
        <v>922.30820234104351</v>
      </c>
      <c r="B149">
        <v>976.44605927196267</v>
      </c>
      <c r="C149">
        <v>921.59413692324006</v>
      </c>
    </row>
    <row r="150" spans="1:3">
      <c r="A150">
        <v>922.30820234104351</v>
      </c>
      <c r="B150">
        <v>976.44605927196267</v>
      </c>
      <c r="C150">
        <v>921.59413692324006</v>
      </c>
    </row>
    <row r="151" spans="1:3">
      <c r="A151">
        <v>922.30820234104351</v>
      </c>
      <c r="B151">
        <v>976.44605927196267</v>
      </c>
      <c r="C151">
        <v>921.59304924664707</v>
      </c>
    </row>
    <row r="152" spans="1:3">
      <c r="A152">
        <v>922.29978296856405</v>
      </c>
      <c r="B152">
        <v>976.44605927196267</v>
      </c>
      <c r="C152">
        <v>921.59304924664707</v>
      </c>
    </row>
    <row r="153" spans="1:3">
      <c r="A153">
        <v>922.28897133749638</v>
      </c>
      <c r="B153">
        <v>976.44605927196267</v>
      </c>
      <c r="C153">
        <v>921.59304924664707</v>
      </c>
    </row>
    <row r="154" spans="1:3">
      <c r="A154">
        <v>922.28897133749638</v>
      </c>
      <c r="B154">
        <v>976.44605927196267</v>
      </c>
      <c r="C154">
        <v>921.59250200375948</v>
      </c>
    </row>
    <row r="155" spans="1:3">
      <c r="A155">
        <v>922.28897133749638</v>
      </c>
      <c r="B155">
        <v>976.44605927196267</v>
      </c>
      <c r="C155">
        <v>921.59250200375948</v>
      </c>
    </row>
    <row r="156" spans="1:3">
      <c r="A156">
        <v>922.28897133749638</v>
      </c>
      <c r="B156">
        <v>976.44605927196267</v>
      </c>
      <c r="C156">
        <v>921.59250200375948</v>
      </c>
    </row>
    <row r="157" spans="1:3">
      <c r="A157">
        <v>922.28897133749638</v>
      </c>
      <c r="B157">
        <v>976.44605927196267</v>
      </c>
      <c r="C157">
        <v>921.59250200375948</v>
      </c>
    </row>
    <row r="158" spans="1:3">
      <c r="A158">
        <v>922.28897133749638</v>
      </c>
      <c r="B158">
        <v>976.44605927196267</v>
      </c>
      <c r="C158">
        <v>921.59250200375948</v>
      </c>
    </row>
    <row r="159" spans="1:3">
      <c r="A159">
        <v>922.28897133749638</v>
      </c>
      <c r="B159">
        <v>976.44605927196267</v>
      </c>
      <c r="C159">
        <v>921.59250200375948</v>
      </c>
    </row>
    <row r="160" spans="1:3">
      <c r="A160">
        <v>922.28897133749638</v>
      </c>
      <c r="B160">
        <v>976.44605927196267</v>
      </c>
      <c r="C160">
        <v>921.59250200375948</v>
      </c>
    </row>
    <row r="161" spans="1:3">
      <c r="A161">
        <v>922.28897133749638</v>
      </c>
      <c r="B161">
        <v>976.44605927196267</v>
      </c>
      <c r="C161">
        <v>921.59245840428468</v>
      </c>
    </row>
    <row r="162" spans="1:3">
      <c r="A162">
        <v>922.28897133749638</v>
      </c>
      <c r="B162">
        <v>976.44605927196267</v>
      </c>
      <c r="C162">
        <v>921.59245840428468</v>
      </c>
    </row>
    <row r="163" spans="1:3">
      <c r="A163">
        <v>922.28897133749638</v>
      </c>
      <c r="B163">
        <v>976.44605927196267</v>
      </c>
      <c r="C163">
        <v>921.59245840428468</v>
      </c>
    </row>
    <row r="164" spans="1:3">
      <c r="A164">
        <v>922.28897133749638</v>
      </c>
      <c r="B164">
        <v>976.44605927196267</v>
      </c>
      <c r="C164">
        <v>921.59245840428468</v>
      </c>
    </row>
    <row r="165" spans="1:3">
      <c r="A165">
        <v>922.28897133749638</v>
      </c>
      <c r="B165">
        <v>976.44605927196267</v>
      </c>
      <c r="C165">
        <v>921.59245840428468</v>
      </c>
    </row>
    <row r="166" spans="1:3">
      <c r="A166">
        <v>922.28757503762006</v>
      </c>
      <c r="B166">
        <v>976.44605927196267</v>
      </c>
      <c r="C166">
        <v>921.59149553528596</v>
      </c>
    </row>
    <row r="167" spans="1:3">
      <c r="A167">
        <v>922.28469423223498</v>
      </c>
      <c r="B167">
        <v>976.44605927196267</v>
      </c>
      <c r="C167">
        <v>921.59149553528596</v>
      </c>
    </row>
    <row r="168" spans="1:3">
      <c r="A168">
        <v>922.28469423223498</v>
      </c>
      <c r="B168">
        <v>976.44605927196267</v>
      </c>
      <c r="C168">
        <v>921.59097237638491</v>
      </c>
    </row>
    <row r="169" spans="1:3">
      <c r="A169">
        <v>922.28469423223498</v>
      </c>
      <c r="B169">
        <v>976.44605927196267</v>
      </c>
      <c r="C169">
        <v>921.59013876831682</v>
      </c>
    </row>
    <row r="170" spans="1:3">
      <c r="A170">
        <v>922.28469423223498</v>
      </c>
      <c r="B170">
        <v>976.44605927196267</v>
      </c>
      <c r="C170">
        <v>921.59013876831682</v>
      </c>
    </row>
    <row r="171" spans="1:3">
      <c r="A171">
        <v>922.28469423223498</v>
      </c>
      <c r="B171">
        <v>976.44605927196267</v>
      </c>
      <c r="C171">
        <v>921.58983884201359</v>
      </c>
    </row>
    <row r="172" spans="1:3">
      <c r="A172">
        <v>922.28469423223498</v>
      </c>
      <c r="B172">
        <v>976.44605927196267</v>
      </c>
      <c r="C172">
        <v>921.58983884201359</v>
      </c>
    </row>
    <row r="173" spans="1:3">
      <c r="A173">
        <v>922.28469423223498</v>
      </c>
      <c r="B173">
        <v>976.44605927196267</v>
      </c>
      <c r="C173">
        <v>921.58983884201359</v>
      </c>
    </row>
    <row r="174" spans="1:3">
      <c r="A174">
        <v>922.28469423223498</v>
      </c>
      <c r="B174">
        <v>976.44605927196267</v>
      </c>
      <c r="C174">
        <v>921.58983884201359</v>
      </c>
    </row>
    <row r="175" spans="1:3">
      <c r="A175">
        <v>922.28469423223498</v>
      </c>
      <c r="B175">
        <v>976.44605927196267</v>
      </c>
      <c r="C175">
        <v>921.58983884201359</v>
      </c>
    </row>
    <row r="176" spans="1:3">
      <c r="A176">
        <v>922.28469423223498</v>
      </c>
      <c r="B176">
        <v>976.44605927196267</v>
      </c>
      <c r="C176">
        <v>921.58983884201359</v>
      </c>
    </row>
    <row r="177" spans="1:3">
      <c r="A177">
        <v>922.28469423223498</v>
      </c>
      <c r="B177">
        <v>976.44605927196267</v>
      </c>
      <c r="C177">
        <v>921.58961074535205</v>
      </c>
    </row>
    <row r="178" spans="1:3">
      <c r="A178">
        <v>922.28469423223498</v>
      </c>
      <c r="B178">
        <v>976.44605927196267</v>
      </c>
      <c r="C178">
        <v>921.58961074535205</v>
      </c>
    </row>
    <row r="179" spans="1:3">
      <c r="A179">
        <v>922.28469423223498</v>
      </c>
      <c r="B179">
        <v>976.44605927196267</v>
      </c>
      <c r="C179">
        <v>921.58961074535205</v>
      </c>
    </row>
    <row r="180" spans="1:3">
      <c r="A180">
        <v>922.28469423223498</v>
      </c>
      <c r="B180">
        <v>976.44605927196267</v>
      </c>
      <c r="C180">
        <v>921.58882094329977</v>
      </c>
    </row>
    <row r="181" spans="1:3">
      <c r="A181">
        <v>922.28469423223498</v>
      </c>
      <c r="B181">
        <v>976.44605927196267</v>
      </c>
      <c r="C181">
        <v>921.58882094329977</v>
      </c>
    </row>
    <row r="182" spans="1:3">
      <c r="A182">
        <v>922.28469423223498</v>
      </c>
      <c r="B182">
        <v>976.44605927196267</v>
      </c>
      <c r="C182">
        <v>921.58882094329977</v>
      </c>
    </row>
    <row r="183" spans="1:3">
      <c r="A183">
        <v>922.28469423223498</v>
      </c>
      <c r="B183">
        <v>976.44605927196267</v>
      </c>
      <c r="C183">
        <v>921.58882094329977</v>
      </c>
    </row>
    <row r="184" spans="1:3">
      <c r="A184">
        <v>922.28148673695455</v>
      </c>
      <c r="B184">
        <v>976.44605927196267</v>
      </c>
      <c r="C184">
        <v>921.58875581040274</v>
      </c>
    </row>
    <row r="185" spans="1:3">
      <c r="A185">
        <v>922.28148673695455</v>
      </c>
      <c r="B185">
        <v>976.44605927196267</v>
      </c>
      <c r="C185">
        <v>921.58875581040274</v>
      </c>
    </row>
    <row r="186" spans="1:3">
      <c r="A186">
        <v>922.28148673695455</v>
      </c>
      <c r="B186">
        <v>976.44605927196267</v>
      </c>
      <c r="C186">
        <v>921.58808165862411</v>
      </c>
    </row>
    <row r="187" spans="1:3">
      <c r="A187">
        <v>922.28148673695455</v>
      </c>
      <c r="B187">
        <v>976.44605927196267</v>
      </c>
      <c r="C187">
        <v>921.58808165862411</v>
      </c>
    </row>
    <row r="188" spans="1:3">
      <c r="A188">
        <v>922.28148673695455</v>
      </c>
      <c r="B188">
        <v>976.44605927196267</v>
      </c>
      <c r="C188">
        <v>921.58725488548623</v>
      </c>
    </row>
    <row r="189" spans="1:3">
      <c r="A189">
        <v>922.28148673695455</v>
      </c>
      <c r="B189">
        <v>976.44605927196267</v>
      </c>
      <c r="C189">
        <v>921.58715176991041</v>
      </c>
    </row>
    <row r="190" spans="1:3">
      <c r="A190">
        <v>922.28148673695455</v>
      </c>
      <c r="B190">
        <v>976.44605927196267</v>
      </c>
      <c r="C190">
        <v>921.58670158525365</v>
      </c>
    </row>
    <row r="191" spans="1:3">
      <c r="A191">
        <v>922.28148673695455</v>
      </c>
      <c r="B191">
        <v>976.44605927196267</v>
      </c>
      <c r="C191">
        <v>921.58670158525365</v>
      </c>
    </row>
    <row r="192" spans="1:3">
      <c r="A192">
        <v>922.27989033661527</v>
      </c>
      <c r="B192">
        <v>976.44605927196267</v>
      </c>
      <c r="C192">
        <v>921.58670158525365</v>
      </c>
    </row>
    <row r="193" spans="1:3">
      <c r="A193">
        <v>922.27989033661527</v>
      </c>
      <c r="B193">
        <v>976.44605927196267</v>
      </c>
      <c r="C193">
        <v>921.58670158525365</v>
      </c>
    </row>
    <row r="194" spans="1:3">
      <c r="A194">
        <v>922.27989033661527</v>
      </c>
      <c r="B194">
        <v>976.44605927196267</v>
      </c>
      <c r="C194">
        <v>921.58670158525365</v>
      </c>
    </row>
    <row r="195" spans="1:3">
      <c r="A195">
        <v>922.27989033661527</v>
      </c>
      <c r="B195">
        <v>976.44605927196267</v>
      </c>
      <c r="C195">
        <v>921.58670158525365</v>
      </c>
    </row>
    <row r="196" spans="1:3">
      <c r="A196">
        <v>922.27989033661527</v>
      </c>
      <c r="B196">
        <v>976.44605927196267</v>
      </c>
      <c r="C196">
        <v>921.58670158525365</v>
      </c>
    </row>
    <row r="197" spans="1:3">
      <c r="A197">
        <v>922.27989033661527</v>
      </c>
      <c r="B197">
        <v>976.44605927196267</v>
      </c>
      <c r="C197">
        <v>921.58670158525365</v>
      </c>
    </row>
    <row r="198" spans="1:3">
      <c r="A198">
        <v>922.27989033661527</v>
      </c>
      <c r="B198">
        <v>976.44605927196267</v>
      </c>
      <c r="C198">
        <v>921.58670158525365</v>
      </c>
    </row>
    <row r="199" spans="1:3">
      <c r="A199">
        <v>922.27989033661527</v>
      </c>
      <c r="B199">
        <v>976.44605927196267</v>
      </c>
      <c r="C199">
        <v>921.58641957559564</v>
      </c>
    </row>
    <row r="200" spans="1:3">
      <c r="A200">
        <v>922.27989033661527</v>
      </c>
      <c r="B200">
        <v>976.44605927196267</v>
      </c>
      <c r="C200">
        <v>921.58641957559564</v>
      </c>
    </row>
    <row r="201" spans="1:3">
      <c r="A201">
        <v>922.27989033661527</v>
      </c>
      <c r="B201">
        <v>976.44605927196267</v>
      </c>
      <c r="C201">
        <v>921.5863332701382</v>
      </c>
    </row>
    <row r="202" spans="1:3">
      <c r="A202">
        <v>922.27989033661527</v>
      </c>
      <c r="B202">
        <v>976.44605927196267</v>
      </c>
      <c r="C202">
        <v>921.58603733949951</v>
      </c>
    </row>
    <row r="203" spans="1:3">
      <c r="A203">
        <v>922.27989033661527</v>
      </c>
      <c r="B203">
        <v>976.44605927196267</v>
      </c>
      <c r="C203">
        <v>921.58601741869859</v>
      </c>
    </row>
    <row r="204" spans="1:3">
      <c r="A204">
        <v>922.27989033661527</v>
      </c>
      <c r="B204">
        <v>976.44605927196267</v>
      </c>
      <c r="C204">
        <v>921.58601741869859</v>
      </c>
    </row>
    <row r="205" spans="1:3">
      <c r="A205">
        <v>922.27989033661527</v>
      </c>
      <c r="B205">
        <v>976.44605927196267</v>
      </c>
      <c r="C205">
        <v>921.58537776974299</v>
      </c>
    </row>
    <row r="206" spans="1:3">
      <c r="A206">
        <v>922.27989033661527</v>
      </c>
      <c r="B206">
        <v>976.44605927196267</v>
      </c>
      <c r="C206">
        <v>921.58537776974299</v>
      </c>
    </row>
    <row r="207" spans="1:3">
      <c r="A207">
        <v>922.27989033661527</v>
      </c>
      <c r="B207">
        <v>976.44605927196267</v>
      </c>
      <c r="C207">
        <v>921.58537776974299</v>
      </c>
    </row>
    <row r="208" spans="1:3">
      <c r="A208">
        <v>922.27989033661527</v>
      </c>
      <c r="B208">
        <v>976.44605927196267</v>
      </c>
      <c r="C208">
        <v>921.58537776974299</v>
      </c>
    </row>
    <row r="209" spans="1:3">
      <c r="A209">
        <v>922.27989033661527</v>
      </c>
      <c r="B209">
        <v>976.44605927196267</v>
      </c>
      <c r="C209">
        <v>921.58537776974299</v>
      </c>
    </row>
    <row r="210" spans="1:3">
      <c r="A210">
        <v>922.27989033661527</v>
      </c>
      <c r="B210">
        <v>976.44605927196267</v>
      </c>
      <c r="C210">
        <v>921.58537776974299</v>
      </c>
    </row>
    <row r="211" spans="1:3">
      <c r="A211">
        <v>922.27989033661527</v>
      </c>
      <c r="B211">
        <v>976.44605927196267</v>
      </c>
      <c r="C211">
        <v>921.58537776974299</v>
      </c>
    </row>
    <row r="212" spans="1:3">
      <c r="A212">
        <v>922.27989033661527</v>
      </c>
      <c r="B212">
        <v>976.44605927196267</v>
      </c>
      <c r="C212">
        <v>921.58537776974299</v>
      </c>
    </row>
    <row r="213" spans="1:3">
      <c r="A213">
        <v>922.27981895537448</v>
      </c>
      <c r="B213">
        <v>976.44605927196267</v>
      </c>
      <c r="C213">
        <v>921.58537776974299</v>
      </c>
    </row>
    <row r="214" spans="1:3">
      <c r="A214">
        <v>922.27981895537448</v>
      </c>
      <c r="B214">
        <v>976.44605927196267</v>
      </c>
      <c r="C214">
        <v>921.58537776974299</v>
      </c>
    </row>
    <row r="215" spans="1:3">
      <c r="A215">
        <v>922.27981895537448</v>
      </c>
      <c r="B215">
        <v>976.44605927196267</v>
      </c>
      <c r="C215">
        <v>921.58537776974299</v>
      </c>
    </row>
    <row r="216" spans="1:3">
      <c r="A216">
        <v>922.27981895537448</v>
      </c>
      <c r="B216">
        <v>976.44605927196267</v>
      </c>
      <c r="C216">
        <v>921.58537776974299</v>
      </c>
    </row>
    <row r="217" spans="1:3">
      <c r="A217">
        <v>922.27965448979319</v>
      </c>
      <c r="B217">
        <v>976.44605927196267</v>
      </c>
      <c r="C217">
        <v>921.58535261315012</v>
      </c>
    </row>
    <row r="218" spans="1:3">
      <c r="A218">
        <v>922.27965448979319</v>
      </c>
      <c r="B218">
        <v>976.44605927196267</v>
      </c>
      <c r="C218">
        <v>921.58510579971357</v>
      </c>
    </row>
    <row r="219" spans="1:3">
      <c r="A219">
        <v>922.27950752158813</v>
      </c>
      <c r="B219">
        <v>976.44605927196267</v>
      </c>
      <c r="C219">
        <v>921.58510579971357</v>
      </c>
    </row>
    <row r="220" spans="1:3">
      <c r="A220">
        <v>922.27950464099342</v>
      </c>
      <c r="B220">
        <v>976.44605927196267</v>
      </c>
      <c r="C220">
        <v>921.58510579971357</v>
      </c>
    </row>
    <row r="221" spans="1:3">
      <c r="A221">
        <v>922.27947485988329</v>
      </c>
      <c r="B221">
        <v>976.44605927196267</v>
      </c>
      <c r="C221">
        <v>921.58510579971357</v>
      </c>
    </row>
    <row r="222" spans="1:3">
      <c r="A222">
        <v>922.27947485988329</v>
      </c>
      <c r="B222">
        <v>976.44605927196267</v>
      </c>
      <c r="C222">
        <v>921.5849541705818</v>
      </c>
    </row>
    <row r="223" spans="1:3">
      <c r="A223">
        <v>922.27947485988329</v>
      </c>
      <c r="B223">
        <v>976.44605927196267</v>
      </c>
      <c r="C223">
        <v>921.5849541705818</v>
      </c>
    </row>
    <row r="224" spans="1:3">
      <c r="A224">
        <v>922.27943422615112</v>
      </c>
      <c r="B224">
        <v>976.44605927196267</v>
      </c>
      <c r="C224">
        <v>921.5849541705818</v>
      </c>
    </row>
    <row r="225" spans="1:3">
      <c r="A225">
        <v>922.27906637193439</v>
      </c>
      <c r="B225">
        <v>976.44605927196267</v>
      </c>
      <c r="C225">
        <v>921.5849541705818</v>
      </c>
    </row>
    <row r="226" spans="1:3">
      <c r="A226">
        <v>922.27906637193439</v>
      </c>
      <c r="B226">
        <v>976.44605927196267</v>
      </c>
      <c r="C226">
        <v>921.5849541705818</v>
      </c>
    </row>
    <row r="227" spans="1:3">
      <c r="A227">
        <v>922.27906637193439</v>
      </c>
      <c r="B227">
        <v>976.44605927196267</v>
      </c>
      <c r="C227">
        <v>921.5849541705818</v>
      </c>
    </row>
    <row r="228" spans="1:3">
      <c r="A228">
        <v>922.27906637193439</v>
      </c>
      <c r="B228">
        <v>976.44605927196267</v>
      </c>
      <c r="C228">
        <v>921.58484668715937</v>
      </c>
    </row>
    <row r="229" spans="1:3">
      <c r="A229">
        <v>922.27906637193439</v>
      </c>
      <c r="B229">
        <v>976.44605927196267</v>
      </c>
      <c r="C229">
        <v>921.58484668715937</v>
      </c>
    </row>
    <row r="230" spans="1:3">
      <c r="A230">
        <v>922.27906637193439</v>
      </c>
      <c r="B230">
        <v>976.44605927196267</v>
      </c>
      <c r="C230">
        <v>921.58484668715937</v>
      </c>
    </row>
    <row r="231" spans="1:3">
      <c r="A231">
        <v>922.27902166049887</v>
      </c>
      <c r="B231">
        <v>976.44605927196267</v>
      </c>
      <c r="C231">
        <v>921.58484668715937</v>
      </c>
    </row>
    <row r="232" spans="1:3">
      <c r="A232">
        <v>922.27902166049887</v>
      </c>
      <c r="B232">
        <v>976.44605927196267</v>
      </c>
      <c r="C232">
        <v>921.58484668715937</v>
      </c>
    </row>
    <row r="233" spans="1:3">
      <c r="A233">
        <v>922.27902166049887</v>
      </c>
      <c r="B233">
        <v>976.44605927196267</v>
      </c>
      <c r="C233">
        <v>921.58484668715937</v>
      </c>
    </row>
    <row r="234" spans="1:3">
      <c r="A234">
        <v>922.27902166049887</v>
      </c>
      <c r="B234">
        <v>976.44605927196267</v>
      </c>
      <c r="C234">
        <v>921.58484668715937</v>
      </c>
    </row>
    <row r="235" spans="1:3">
      <c r="A235">
        <v>922.27902166049887</v>
      </c>
      <c r="B235">
        <v>976.44605927196267</v>
      </c>
      <c r="C235">
        <v>921.58484668715937</v>
      </c>
    </row>
    <row r="236" spans="1:3">
      <c r="A236">
        <v>922.27902166049887</v>
      </c>
      <c r="B236">
        <v>976.44605927196267</v>
      </c>
      <c r="C236">
        <v>921.58484668715937</v>
      </c>
    </row>
    <row r="237" spans="1:3">
      <c r="A237">
        <v>922.27902166049887</v>
      </c>
      <c r="B237">
        <v>976.44605927196267</v>
      </c>
      <c r="C237">
        <v>921.58484668715937</v>
      </c>
    </row>
    <row r="238" spans="1:3">
      <c r="A238">
        <v>922.27902166049887</v>
      </c>
      <c r="B238">
        <v>976.44605927196267</v>
      </c>
      <c r="C238">
        <v>921.58483222957341</v>
      </c>
    </row>
    <row r="239" spans="1:3">
      <c r="A239">
        <v>922.27902166049887</v>
      </c>
      <c r="B239">
        <v>976.44605927196267</v>
      </c>
      <c r="C239">
        <v>921.58483222957341</v>
      </c>
    </row>
    <row r="240" spans="1:3">
      <c r="A240">
        <v>922.27902166049887</v>
      </c>
      <c r="B240">
        <v>976.44605927196267</v>
      </c>
      <c r="C240">
        <v>921.58483222957341</v>
      </c>
    </row>
    <row r="241" spans="1:3">
      <c r="A241">
        <v>922.27902166049887</v>
      </c>
      <c r="B241">
        <v>976.44605927196267</v>
      </c>
      <c r="C241">
        <v>921.58482519144002</v>
      </c>
    </row>
    <row r="242" spans="1:3">
      <c r="A242">
        <v>922.27902166049887</v>
      </c>
      <c r="B242">
        <v>976.44605927196267</v>
      </c>
      <c r="C242">
        <v>921.58482519144002</v>
      </c>
    </row>
    <row r="243" spans="1:3">
      <c r="A243">
        <v>922.27888497447668</v>
      </c>
      <c r="B243">
        <v>976.44605927196267</v>
      </c>
      <c r="C243">
        <v>921.58482519144002</v>
      </c>
    </row>
    <row r="244" spans="1:3">
      <c r="A244">
        <v>922.27885670392345</v>
      </c>
      <c r="B244">
        <v>976.44605927196267</v>
      </c>
      <c r="C244">
        <v>921.58481644901576</v>
      </c>
    </row>
    <row r="245" spans="1:3">
      <c r="A245">
        <v>922.27885670392345</v>
      </c>
      <c r="B245">
        <v>976.44605927196267</v>
      </c>
      <c r="C245">
        <v>921.58481644901576</v>
      </c>
    </row>
    <row r="246" spans="1:3">
      <c r="A246">
        <v>922.27885670392345</v>
      </c>
      <c r="B246">
        <v>976.44605927196267</v>
      </c>
      <c r="C246">
        <v>921.58480451044818</v>
      </c>
    </row>
    <row r="247" spans="1:3">
      <c r="A247">
        <v>922.27885314490902</v>
      </c>
      <c r="B247">
        <v>976.44605927196267</v>
      </c>
      <c r="C247">
        <v>921.58480451044818</v>
      </c>
    </row>
    <row r="248" spans="1:3">
      <c r="A248">
        <v>922.27885314490902</v>
      </c>
      <c r="B248">
        <v>976.44605927196267</v>
      </c>
      <c r="C248">
        <v>921.58480451044818</v>
      </c>
    </row>
    <row r="249" spans="1:3">
      <c r="A249">
        <v>922.27885314490902</v>
      </c>
      <c r="B249">
        <v>976.44605927196267</v>
      </c>
      <c r="C249">
        <v>921.58480451044818</v>
      </c>
    </row>
    <row r="250" spans="1:3">
      <c r="A250">
        <v>922.27885314490902</v>
      </c>
      <c r="B250">
        <v>976.44605927196267</v>
      </c>
      <c r="C250">
        <v>921.58480451044818</v>
      </c>
    </row>
    <row r="251" spans="1:3">
      <c r="A251">
        <v>922.27882598287772</v>
      </c>
      <c r="B251">
        <v>976.44605927196267</v>
      </c>
      <c r="C251">
        <v>921.58480451044818</v>
      </c>
    </row>
    <row r="252" spans="1:3">
      <c r="A252">
        <v>922.27873845900297</v>
      </c>
      <c r="B252">
        <v>976.44605927196267</v>
      </c>
      <c r="C252">
        <v>921.58480330007956</v>
      </c>
    </row>
    <row r="253" spans="1:3">
      <c r="A253">
        <v>922.27873845900297</v>
      </c>
      <c r="B253">
        <v>976.44605927196267</v>
      </c>
      <c r="C253">
        <v>921.58480330007956</v>
      </c>
    </row>
    <row r="254" spans="1:3">
      <c r="A254">
        <v>922.27872583792418</v>
      </c>
      <c r="B254">
        <v>976.44605927196267</v>
      </c>
      <c r="C254">
        <v>921.58480330007956</v>
      </c>
    </row>
    <row r="255" spans="1:3">
      <c r="A255">
        <v>922.27867726639488</v>
      </c>
      <c r="B255">
        <v>976.44605927196267</v>
      </c>
      <c r="C255">
        <v>921.58480330007956</v>
      </c>
    </row>
    <row r="256" spans="1:3">
      <c r="A256">
        <v>922.27863840926216</v>
      </c>
      <c r="B256">
        <v>976.44605927196267</v>
      </c>
      <c r="C256">
        <v>921.58480330007956</v>
      </c>
    </row>
    <row r="257" spans="1:3">
      <c r="A257">
        <v>922.27863840926216</v>
      </c>
      <c r="B257">
        <v>976.44605927196267</v>
      </c>
      <c r="C257">
        <v>921.58480330007956</v>
      </c>
    </row>
    <row r="258" spans="1:3">
      <c r="A258">
        <v>922.27863840926216</v>
      </c>
      <c r="B258">
        <v>976.44605927196267</v>
      </c>
      <c r="C258">
        <v>921.58480330007956</v>
      </c>
    </row>
    <row r="259" spans="1:3">
      <c r="A259">
        <v>922.27863840926216</v>
      </c>
      <c r="B259">
        <v>976.44605927196267</v>
      </c>
      <c r="C259">
        <v>921.58480330007956</v>
      </c>
    </row>
    <row r="260" spans="1:3">
      <c r="A260">
        <v>922.27863840926216</v>
      </c>
      <c r="B260">
        <v>976.44605927196267</v>
      </c>
      <c r="C260">
        <v>921.58480330007956</v>
      </c>
    </row>
    <row r="261" spans="1:3">
      <c r="A261">
        <v>922.27863840926216</v>
      </c>
      <c r="B261">
        <v>976.44605927196267</v>
      </c>
      <c r="C261">
        <v>921.58480330007956</v>
      </c>
    </row>
    <row r="262" spans="1:3">
      <c r="A262">
        <v>922.27863840926216</v>
      </c>
      <c r="B262">
        <v>976.44605927196267</v>
      </c>
      <c r="C262">
        <v>921.58480330007956</v>
      </c>
    </row>
    <row r="263" spans="1:3">
      <c r="A263">
        <v>922.27863840926216</v>
      </c>
      <c r="B263">
        <v>976.44605927196267</v>
      </c>
      <c r="C263">
        <v>921.58480330007956</v>
      </c>
    </row>
    <row r="264" spans="1:3">
      <c r="A264">
        <v>922.27863840926216</v>
      </c>
      <c r="B264">
        <v>976.44605927196267</v>
      </c>
      <c r="C264">
        <v>921.58480330007956</v>
      </c>
    </row>
    <row r="265" spans="1:3">
      <c r="A265">
        <v>922.27863840926216</v>
      </c>
      <c r="B265">
        <v>976.44605927196267</v>
      </c>
      <c r="C265">
        <v>921.58480330007956</v>
      </c>
    </row>
    <row r="266" spans="1:3">
      <c r="A266">
        <v>922.27863840926216</v>
      </c>
      <c r="B266">
        <v>976.44605927196267</v>
      </c>
      <c r="C266">
        <v>921.58480330007956</v>
      </c>
    </row>
    <row r="267" spans="1:3">
      <c r="A267">
        <v>922.27863840926216</v>
      </c>
      <c r="B267">
        <v>976.44605927196267</v>
      </c>
      <c r="C267">
        <v>921.58480275106956</v>
      </c>
    </row>
    <row r="268" spans="1:3">
      <c r="A268">
        <v>922.27863840926216</v>
      </c>
      <c r="B268">
        <v>976.44605927196267</v>
      </c>
      <c r="C268">
        <v>921.58480275106956</v>
      </c>
    </row>
    <row r="269" spans="1:3">
      <c r="A269">
        <v>922.27863840926216</v>
      </c>
      <c r="B269">
        <v>976.44605927196267</v>
      </c>
      <c r="C269">
        <v>921.5848026945996</v>
      </c>
    </row>
    <row r="270" spans="1:3">
      <c r="A270">
        <v>922.27863840926216</v>
      </c>
      <c r="B270">
        <v>976.44605927196267</v>
      </c>
      <c r="C270">
        <v>921.5848026945996</v>
      </c>
    </row>
    <row r="271" spans="1:3">
      <c r="A271">
        <v>922.27863840926216</v>
      </c>
      <c r="B271">
        <v>976.44605927196267</v>
      </c>
      <c r="C271">
        <v>921.5848026945996</v>
      </c>
    </row>
    <row r="272" spans="1:3">
      <c r="A272">
        <v>922.27863840926216</v>
      </c>
      <c r="B272">
        <v>976.44605927196267</v>
      </c>
      <c r="C272">
        <v>921.5848026945996</v>
      </c>
    </row>
    <row r="273" spans="1:3">
      <c r="A273">
        <v>922.27863840926216</v>
      </c>
      <c r="B273">
        <v>976.44605927196267</v>
      </c>
      <c r="C273">
        <v>921.58480012150119</v>
      </c>
    </row>
    <row r="274" spans="1:3">
      <c r="A274">
        <v>922.27863840926216</v>
      </c>
      <c r="B274">
        <v>976.44605927196267</v>
      </c>
      <c r="C274">
        <v>921.58480012150119</v>
      </c>
    </row>
    <row r="275" spans="1:3">
      <c r="A275">
        <v>922.27863840926216</v>
      </c>
      <c r="B275">
        <v>976.44605927196267</v>
      </c>
      <c r="C275">
        <v>921.58480012150119</v>
      </c>
    </row>
    <row r="276" spans="1:3">
      <c r="A276">
        <v>922.27863840926216</v>
      </c>
      <c r="B276">
        <v>976.44605927196267</v>
      </c>
      <c r="C276">
        <v>921.58480012150119</v>
      </c>
    </row>
    <row r="277" spans="1:3">
      <c r="A277">
        <v>922.27863840926216</v>
      </c>
      <c r="B277">
        <v>976.44605927196267</v>
      </c>
      <c r="C277">
        <v>921.58480012150119</v>
      </c>
    </row>
    <row r="278" spans="1:3">
      <c r="A278">
        <v>922.27863840926216</v>
      </c>
      <c r="B278">
        <v>976.44605927196267</v>
      </c>
      <c r="C278">
        <v>921.58480012150119</v>
      </c>
    </row>
    <row r="279" spans="1:3">
      <c r="A279">
        <v>922.27863534136497</v>
      </c>
      <c r="B279">
        <v>976.44605927196267</v>
      </c>
      <c r="C279">
        <v>921.58480012150119</v>
      </c>
    </row>
    <row r="280" spans="1:3">
      <c r="A280">
        <v>922.27863534136497</v>
      </c>
      <c r="B280">
        <v>976.44605927196267</v>
      </c>
      <c r="C280">
        <v>921.58479935196351</v>
      </c>
    </row>
    <row r="281" spans="1:3">
      <c r="A281">
        <v>922.27863534136497</v>
      </c>
      <c r="B281">
        <v>976.44605927196267</v>
      </c>
      <c r="C281">
        <v>921.58479935196351</v>
      </c>
    </row>
    <row r="282" spans="1:3">
      <c r="A282">
        <v>922.27860900079247</v>
      </c>
      <c r="B282">
        <v>976.44605927196267</v>
      </c>
      <c r="C282">
        <v>921.58479935196351</v>
      </c>
    </row>
    <row r="283" spans="1:3">
      <c r="A283">
        <v>922.27860900079247</v>
      </c>
      <c r="B283">
        <v>976.44605927196267</v>
      </c>
      <c r="C283">
        <v>921.58479935196351</v>
      </c>
    </row>
    <row r="284" spans="1:3">
      <c r="A284">
        <v>922.27860900079247</v>
      </c>
      <c r="B284">
        <v>976.44605927196267</v>
      </c>
      <c r="C284">
        <v>921.5847979377628</v>
      </c>
    </row>
    <row r="285" spans="1:3">
      <c r="A285">
        <v>922.27860900079247</v>
      </c>
      <c r="B285">
        <v>976.44605927196267</v>
      </c>
      <c r="C285">
        <v>921.5847979377628</v>
      </c>
    </row>
    <row r="286" spans="1:3">
      <c r="A286">
        <v>922.27860900079247</v>
      </c>
      <c r="B286">
        <v>976.44605927196267</v>
      </c>
      <c r="C286">
        <v>921.58479683976213</v>
      </c>
    </row>
    <row r="287" spans="1:3">
      <c r="A287">
        <v>922.27860900079247</v>
      </c>
      <c r="B287">
        <v>976.44605927196267</v>
      </c>
      <c r="C287">
        <v>921.58479190866899</v>
      </c>
    </row>
    <row r="288" spans="1:3">
      <c r="A288">
        <v>922.27860900079247</v>
      </c>
      <c r="B288">
        <v>976.44605927196267</v>
      </c>
      <c r="C288">
        <v>921.58479190866899</v>
      </c>
    </row>
    <row r="289" spans="1:3">
      <c r="A289">
        <v>922.27860900079247</v>
      </c>
      <c r="B289">
        <v>976.44605927196267</v>
      </c>
      <c r="C289">
        <v>921.58479190866899</v>
      </c>
    </row>
    <row r="290" spans="1:3">
      <c r="A290">
        <v>922.27860900079247</v>
      </c>
      <c r="B290">
        <v>976.44605927196267</v>
      </c>
      <c r="C290">
        <v>921.58479190866899</v>
      </c>
    </row>
    <row r="291" spans="1:3">
      <c r="A291">
        <v>922.27860900079247</v>
      </c>
      <c r="B291">
        <v>976.44605927196267</v>
      </c>
      <c r="C291">
        <v>921.58479190866899</v>
      </c>
    </row>
    <row r="292" spans="1:3">
      <c r="A292">
        <v>922.27860900079247</v>
      </c>
      <c r="B292">
        <v>976.44605927196267</v>
      </c>
      <c r="C292">
        <v>921.58479190866899</v>
      </c>
    </row>
    <row r="293" spans="1:3">
      <c r="A293">
        <v>922.27860697408983</v>
      </c>
      <c r="B293">
        <v>976.44605927196267</v>
      </c>
      <c r="C293">
        <v>921.58479190866899</v>
      </c>
    </row>
    <row r="294" spans="1:3">
      <c r="A294">
        <v>922.27860697408983</v>
      </c>
      <c r="B294">
        <v>976.44605927196267</v>
      </c>
      <c r="C294">
        <v>921.58479168885799</v>
      </c>
    </row>
    <row r="295" spans="1:3">
      <c r="A295">
        <v>922.27850631681929</v>
      </c>
      <c r="B295">
        <v>976.44605927196267</v>
      </c>
      <c r="C295">
        <v>921.58479168885799</v>
      </c>
    </row>
    <row r="296" spans="1:3">
      <c r="A296">
        <v>922.27850631681929</v>
      </c>
      <c r="B296">
        <v>976.44605927196267</v>
      </c>
      <c r="C296">
        <v>921.58478986158491</v>
      </c>
    </row>
    <row r="297" spans="1:3">
      <c r="A297">
        <v>922.27845881629537</v>
      </c>
      <c r="B297">
        <v>976.44605927196267</v>
      </c>
      <c r="C297">
        <v>921.58478986158491</v>
      </c>
    </row>
    <row r="298" spans="1:3">
      <c r="A298">
        <v>922.27839627130072</v>
      </c>
      <c r="B298">
        <v>976.44605927196267</v>
      </c>
      <c r="C298">
        <v>921.58478890148365</v>
      </c>
    </row>
    <row r="299" spans="1:3">
      <c r="A299">
        <v>922.27834623601836</v>
      </c>
      <c r="B299">
        <v>976.44605927196267</v>
      </c>
      <c r="C299">
        <v>921.58478886662499</v>
      </c>
    </row>
    <row r="300" spans="1:3">
      <c r="A300">
        <v>922.27830620824898</v>
      </c>
      <c r="B300">
        <v>976.44605927196267</v>
      </c>
      <c r="C300">
        <v>921.58478886662499</v>
      </c>
    </row>
    <row r="301" spans="1:3">
      <c r="A301">
        <v>922.27818773230535</v>
      </c>
      <c r="B301">
        <v>976.44605927196267</v>
      </c>
      <c r="C301">
        <v>921.58478886662499</v>
      </c>
    </row>
    <row r="302" spans="1:3">
      <c r="A302">
        <v>922.27818773230535</v>
      </c>
      <c r="B302">
        <v>976.44605927196267</v>
      </c>
      <c r="C302">
        <v>921.58478886662499</v>
      </c>
    </row>
    <row r="303" spans="1:3">
      <c r="A303">
        <v>922.27813508736551</v>
      </c>
      <c r="B303">
        <v>976.44605927196267</v>
      </c>
      <c r="C303">
        <v>921.58478886662499</v>
      </c>
    </row>
    <row r="304" spans="1:3">
      <c r="A304">
        <v>922.27813508736551</v>
      </c>
      <c r="B304">
        <v>976.44605927196267</v>
      </c>
      <c r="C304">
        <v>921.58478886662499</v>
      </c>
    </row>
    <row r="305" spans="1:3">
      <c r="A305">
        <v>922.27813508736551</v>
      </c>
      <c r="B305">
        <v>976.44605927196267</v>
      </c>
      <c r="C305">
        <v>921.58478886662499</v>
      </c>
    </row>
    <row r="306" spans="1:3">
      <c r="A306">
        <v>922.27813508736551</v>
      </c>
      <c r="B306">
        <v>976.44605927196267</v>
      </c>
      <c r="C306">
        <v>921.58478886662499</v>
      </c>
    </row>
    <row r="307" spans="1:3">
      <c r="A307">
        <v>922.27813508736551</v>
      </c>
      <c r="B307">
        <v>976.44605927196267</v>
      </c>
      <c r="C307">
        <v>921.58478886662499</v>
      </c>
    </row>
    <row r="308" spans="1:3">
      <c r="A308">
        <v>922.27813508736551</v>
      </c>
      <c r="B308">
        <v>976.44605927196267</v>
      </c>
      <c r="C308">
        <v>921.58478886662499</v>
      </c>
    </row>
    <row r="309" spans="1:3">
      <c r="A309">
        <v>922.27813508736551</v>
      </c>
      <c r="B309">
        <v>976.44605927196267</v>
      </c>
      <c r="C309">
        <v>921.58478850024653</v>
      </c>
    </row>
    <row r="310" spans="1:3">
      <c r="A310">
        <v>922.27807273143526</v>
      </c>
      <c r="B310">
        <v>976.44605927196267</v>
      </c>
      <c r="C310">
        <v>921.58478770503018</v>
      </c>
    </row>
    <row r="311" spans="1:3">
      <c r="A311">
        <v>922.27806875403041</v>
      </c>
      <c r="B311">
        <v>976.44605927196267</v>
      </c>
      <c r="C311">
        <v>921.58478770503018</v>
      </c>
    </row>
    <row r="312" spans="1:3">
      <c r="A312">
        <v>922.27792122108281</v>
      </c>
      <c r="B312">
        <v>976.44605927196267</v>
      </c>
      <c r="C312">
        <v>921.58478768977795</v>
      </c>
    </row>
    <row r="313" spans="1:3">
      <c r="A313">
        <v>922.27792122108281</v>
      </c>
      <c r="B313">
        <v>976.44605927196267</v>
      </c>
      <c r="C313">
        <v>921.58478768977795</v>
      </c>
    </row>
    <row r="314" spans="1:3">
      <c r="A314">
        <v>922.27792122108281</v>
      </c>
      <c r="B314">
        <v>976.44605927196267</v>
      </c>
      <c r="C314">
        <v>921.58478768977795</v>
      </c>
    </row>
    <row r="315" spans="1:3">
      <c r="A315">
        <v>922.27792122108281</v>
      </c>
      <c r="B315">
        <v>976.44605927196267</v>
      </c>
      <c r="C315">
        <v>921.58478768977795</v>
      </c>
    </row>
    <row r="316" spans="1:3">
      <c r="A316">
        <v>922.27792122108281</v>
      </c>
      <c r="B316">
        <v>976.44605927196267</v>
      </c>
      <c r="C316">
        <v>921.58478768977795</v>
      </c>
    </row>
    <row r="317" spans="1:3">
      <c r="A317">
        <v>922.27792122108281</v>
      </c>
      <c r="B317">
        <v>976.44605927196267</v>
      </c>
      <c r="C317">
        <v>921.58478768977795</v>
      </c>
    </row>
    <row r="318" spans="1:3">
      <c r="A318">
        <v>922.27792122108281</v>
      </c>
      <c r="B318">
        <v>976.44605927196267</v>
      </c>
      <c r="C318">
        <v>921.58478752368205</v>
      </c>
    </row>
    <row r="319" spans="1:3">
      <c r="A319">
        <v>922.27792122108281</v>
      </c>
      <c r="B319">
        <v>976.44605927196267</v>
      </c>
      <c r="C319">
        <v>921.58478752368205</v>
      </c>
    </row>
    <row r="320" spans="1:3">
      <c r="A320">
        <v>922.27792122108281</v>
      </c>
      <c r="B320">
        <v>976.44605927196267</v>
      </c>
      <c r="C320">
        <v>921.58478728624254</v>
      </c>
    </row>
    <row r="321" spans="1:3">
      <c r="A321">
        <v>922.27792122108281</v>
      </c>
      <c r="B321">
        <v>976.44605927196267</v>
      </c>
      <c r="C321">
        <v>921.58478728624254</v>
      </c>
    </row>
    <row r="322" spans="1:3">
      <c r="A322">
        <v>922.27792122108281</v>
      </c>
      <c r="B322">
        <v>976.44605927196267</v>
      </c>
      <c r="C322">
        <v>921.58478728624254</v>
      </c>
    </row>
    <row r="323" spans="1:3">
      <c r="A323">
        <v>922.27792122108281</v>
      </c>
      <c r="B323">
        <v>976.44605927196267</v>
      </c>
      <c r="C323">
        <v>921.58478728624254</v>
      </c>
    </row>
    <row r="324" spans="1:3">
      <c r="A324">
        <v>922.27792122108281</v>
      </c>
      <c r="B324">
        <v>976.44605927196267</v>
      </c>
      <c r="C324">
        <v>921.58478728624254</v>
      </c>
    </row>
    <row r="325" spans="1:3">
      <c r="A325">
        <v>922.27792122108281</v>
      </c>
      <c r="B325">
        <v>976.44605927196267</v>
      </c>
      <c r="C325">
        <v>921.58478718132085</v>
      </c>
    </row>
    <row r="326" spans="1:3">
      <c r="A326">
        <v>922.27792122108281</v>
      </c>
      <c r="B326">
        <v>976.44605927196267</v>
      </c>
      <c r="C326">
        <v>921.58478718132085</v>
      </c>
    </row>
    <row r="327" spans="1:3">
      <c r="A327">
        <v>922.27792122108281</v>
      </c>
      <c r="B327">
        <v>976.44605927196267</v>
      </c>
      <c r="C327">
        <v>921.5847870743338</v>
      </c>
    </row>
    <row r="328" spans="1:3">
      <c r="A328">
        <v>922.27792122108281</v>
      </c>
      <c r="B328">
        <v>976.44605927196267</v>
      </c>
      <c r="C328">
        <v>921.5847870743338</v>
      </c>
    </row>
    <row r="329" spans="1:3">
      <c r="A329">
        <v>922.27792122108281</v>
      </c>
      <c r="B329">
        <v>976.44605927196267</v>
      </c>
      <c r="C329">
        <v>921.58478705320124</v>
      </c>
    </row>
    <row r="330" spans="1:3">
      <c r="A330">
        <v>922.27792122108281</v>
      </c>
      <c r="B330">
        <v>976.44605927196267</v>
      </c>
      <c r="C330">
        <v>921.5847870091925</v>
      </c>
    </row>
    <row r="331" spans="1:3">
      <c r="A331">
        <v>922.27792122108281</v>
      </c>
      <c r="B331">
        <v>976.44605927196267</v>
      </c>
      <c r="C331">
        <v>921.58478700574915</v>
      </c>
    </row>
    <row r="332" spans="1:3">
      <c r="A332">
        <v>922.27791365728945</v>
      </c>
      <c r="B332">
        <v>976.44605927196267</v>
      </c>
      <c r="C332">
        <v>921.58478700574915</v>
      </c>
    </row>
    <row r="333" spans="1:3">
      <c r="A333">
        <v>922.27791365728945</v>
      </c>
      <c r="B333">
        <v>976.44605927196267</v>
      </c>
      <c r="C333">
        <v>921.58478699021452</v>
      </c>
    </row>
    <row r="334" spans="1:3">
      <c r="A334">
        <v>922.27791365728945</v>
      </c>
      <c r="B334">
        <v>976.44605927196267</v>
      </c>
      <c r="C334">
        <v>921.58478699021452</v>
      </c>
    </row>
    <row r="335" spans="1:3">
      <c r="A335">
        <v>922.27791365728945</v>
      </c>
      <c r="B335">
        <v>976.44605927196267</v>
      </c>
      <c r="C335">
        <v>921.58478699021452</v>
      </c>
    </row>
    <row r="336" spans="1:3">
      <c r="A336">
        <v>922.27791365728945</v>
      </c>
      <c r="B336">
        <v>976.44605927196267</v>
      </c>
      <c r="C336">
        <v>921.58478695897429</v>
      </c>
    </row>
    <row r="337" spans="1:3">
      <c r="A337">
        <v>922.27791365728945</v>
      </c>
      <c r="B337">
        <v>976.44605927196267</v>
      </c>
      <c r="C337">
        <v>921.58478695897429</v>
      </c>
    </row>
    <row r="338" spans="1:3">
      <c r="A338">
        <v>922.27789367949083</v>
      </c>
      <c r="B338">
        <v>976.44605927196267</v>
      </c>
      <c r="C338">
        <v>921.58478695897429</v>
      </c>
    </row>
    <row r="339" spans="1:3">
      <c r="A339">
        <v>922.27789367949083</v>
      </c>
      <c r="B339">
        <v>976.44605927196267</v>
      </c>
      <c r="C339">
        <v>921.58478694939413</v>
      </c>
    </row>
    <row r="340" spans="1:3">
      <c r="A340">
        <v>922.27789367949083</v>
      </c>
      <c r="B340">
        <v>976.44605927196267</v>
      </c>
      <c r="C340">
        <v>921.58478694939413</v>
      </c>
    </row>
    <row r="341" spans="1:3">
      <c r="A341">
        <v>922.27789367949083</v>
      </c>
      <c r="B341">
        <v>976.44605927196267</v>
      </c>
      <c r="C341">
        <v>921.58478693282848</v>
      </c>
    </row>
    <row r="342" spans="1:3">
      <c r="A342">
        <v>922.27789367949083</v>
      </c>
      <c r="B342">
        <v>976.44605927196267</v>
      </c>
      <c r="C342">
        <v>921.58478689045353</v>
      </c>
    </row>
    <row r="343" spans="1:3">
      <c r="A343">
        <v>922.27789367949083</v>
      </c>
      <c r="B343">
        <v>976.44605927196267</v>
      </c>
      <c r="C343">
        <v>921.58478689045353</v>
      </c>
    </row>
    <row r="344" spans="1:3">
      <c r="A344">
        <v>922.27789367949083</v>
      </c>
      <c r="B344">
        <v>976.44605927196267</v>
      </c>
      <c r="C344">
        <v>921.58478689045353</v>
      </c>
    </row>
    <row r="345" spans="1:3">
      <c r="A345">
        <v>922.27789367949083</v>
      </c>
      <c r="B345">
        <v>976.44605927196267</v>
      </c>
      <c r="C345">
        <v>921.58478689045353</v>
      </c>
    </row>
    <row r="346" spans="1:3">
      <c r="A346">
        <v>922.27789367949083</v>
      </c>
      <c r="B346">
        <v>976.44605927196267</v>
      </c>
      <c r="C346">
        <v>921.58478689045353</v>
      </c>
    </row>
    <row r="347" spans="1:3">
      <c r="A347">
        <v>922.27789367949083</v>
      </c>
      <c r="B347">
        <v>976.44605927196267</v>
      </c>
      <c r="C347">
        <v>921.58478689045353</v>
      </c>
    </row>
    <row r="348" spans="1:3">
      <c r="A348">
        <v>922.27789367949083</v>
      </c>
      <c r="B348">
        <v>976.44605927196267</v>
      </c>
      <c r="C348">
        <v>921.58478687335071</v>
      </c>
    </row>
    <row r="349" spans="1:3">
      <c r="A349">
        <v>922.27789367949083</v>
      </c>
      <c r="B349">
        <v>976.44605927196267</v>
      </c>
      <c r="C349">
        <v>921.58478687335071</v>
      </c>
    </row>
    <row r="350" spans="1:3">
      <c r="A350">
        <v>922.27789367949083</v>
      </c>
      <c r="B350">
        <v>976.44605927196267</v>
      </c>
      <c r="C350">
        <v>921.58478687335071</v>
      </c>
    </row>
    <row r="351" spans="1:3">
      <c r="A351">
        <v>922.27789367949083</v>
      </c>
      <c r="B351">
        <v>976.44605927196267</v>
      </c>
      <c r="C351">
        <v>921.58478687335071</v>
      </c>
    </row>
    <row r="352" spans="1:3">
      <c r="A352">
        <v>922.27789367949083</v>
      </c>
      <c r="B352">
        <v>976.44605927196267</v>
      </c>
      <c r="C352">
        <v>921.58478687335071</v>
      </c>
    </row>
    <row r="353" spans="1:3">
      <c r="A353">
        <v>922.27789367949083</v>
      </c>
      <c r="B353">
        <v>976.44605927196267</v>
      </c>
      <c r="C353">
        <v>921.58478687335071</v>
      </c>
    </row>
    <row r="354" spans="1:3">
      <c r="A354">
        <v>922.27789367949083</v>
      </c>
      <c r="B354">
        <v>976.44605927196267</v>
      </c>
      <c r="C354">
        <v>921.58478687335071</v>
      </c>
    </row>
    <row r="355" spans="1:3">
      <c r="A355">
        <v>922.27789367949083</v>
      </c>
      <c r="B355">
        <v>976.44605927196267</v>
      </c>
      <c r="C355">
        <v>921.58478687335071</v>
      </c>
    </row>
    <row r="356" spans="1:3">
      <c r="A356">
        <v>922.27789367949083</v>
      </c>
      <c r="B356">
        <v>976.44605927196267</v>
      </c>
      <c r="C356">
        <v>921.58478687335071</v>
      </c>
    </row>
    <row r="357" spans="1:3">
      <c r="A357">
        <v>922.27789367949083</v>
      </c>
      <c r="B357">
        <v>976.44605927196267</v>
      </c>
      <c r="C357">
        <v>921.58478687335071</v>
      </c>
    </row>
    <row r="358" spans="1:3">
      <c r="A358">
        <v>922.27789367949083</v>
      </c>
      <c r="B358">
        <v>976.44605927196267</v>
      </c>
      <c r="C358">
        <v>921.58478687335071</v>
      </c>
    </row>
    <row r="359" spans="1:3">
      <c r="A359">
        <v>922.27789367949083</v>
      </c>
      <c r="B359">
        <v>976.44605927196267</v>
      </c>
      <c r="C359">
        <v>921.58478687335071</v>
      </c>
    </row>
    <row r="360" spans="1:3">
      <c r="A360">
        <v>922.27789367949083</v>
      </c>
      <c r="B360">
        <v>976.44605927196267</v>
      </c>
      <c r="C360">
        <v>921.58478687335071</v>
      </c>
    </row>
    <row r="361" spans="1:3">
      <c r="A361">
        <v>922.27789367949083</v>
      </c>
      <c r="B361">
        <v>976.44605927196267</v>
      </c>
      <c r="C361">
        <v>921.58478687335071</v>
      </c>
    </row>
    <row r="362" spans="1:3">
      <c r="A362">
        <v>922.27789367949083</v>
      </c>
      <c r="B362">
        <v>976.44605927196267</v>
      </c>
      <c r="C362">
        <v>921.58478687004333</v>
      </c>
    </row>
    <row r="363" spans="1:3">
      <c r="A363">
        <v>922.27782072108732</v>
      </c>
      <c r="B363">
        <v>976.44605927196267</v>
      </c>
      <c r="C363">
        <v>921.58478687004333</v>
      </c>
    </row>
    <row r="364" spans="1:3">
      <c r="A364">
        <v>922.27782072108732</v>
      </c>
      <c r="B364">
        <v>976.44605927196267</v>
      </c>
      <c r="C364">
        <v>921.58478687004333</v>
      </c>
    </row>
    <row r="365" spans="1:3">
      <c r="A365">
        <v>922.27782072108732</v>
      </c>
      <c r="B365">
        <v>976.44605927196267</v>
      </c>
      <c r="C365">
        <v>921.58478687004333</v>
      </c>
    </row>
    <row r="366" spans="1:3">
      <c r="A366">
        <v>922.27782072108732</v>
      </c>
      <c r="B366">
        <v>976.44605927196267</v>
      </c>
      <c r="C366">
        <v>921.58478687004333</v>
      </c>
    </row>
    <row r="367" spans="1:3">
      <c r="A367">
        <v>922.27781564780537</v>
      </c>
      <c r="B367">
        <v>976.44605927196267</v>
      </c>
      <c r="C367">
        <v>921.58478687004333</v>
      </c>
    </row>
    <row r="368" spans="1:3">
      <c r="A368">
        <v>922.27781564780537</v>
      </c>
      <c r="B368">
        <v>976.44605927196267</v>
      </c>
      <c r="C368">
        <v>921.58478687004333</v>
      </c>
    </row>
    <row r="369" spans="1:3">
      <c r="A369">
        <v>922.27781564780537</v>
      </c>
      <c r="B369">
        <v>976.44605927196267</v>
      </c>
      <c r="C369">
        <v>921.58478687004333</v>
      </c>
    </row>
    <row r="370" spans="1:3">
      <c r="A370">
        <v>922.27780866264993</v>
      </c>
      <c r="B370">
        <v>976.44605927196267</v>
      </c>
      <c r="C370">
        <v>921.58478686682872</v>
      </c>
    </row>
    <row r="371" spans="1:3">
      <c r="A371">
        <v>922.27780866264993</v>
      </c>
      <c r="B371">
        <v>976.44605927196267</v>
      </c>
      <c r="C371">
        <v>921.58478686682872</v>
      </c>
    </row>
    <row r="372" spans="1:3">
      <c r="A372">
        <v>922.27780866264993</v>
      </c>
      <c r="B372">
        <v>976.44605927196267</v>
      </c>
      <c r="C372">
        <v>921.58478686682872</v>
      </c>
    </row>
    <row r="373" spans="1:3">
      <c r="A373">
        <v>922.27780866264993</v>
      </c>
      <c r="B373">
        <v>976.44605927196267</v>
      </c>
      <c r="C373">
        <v>921.58478686682872</v>
      </c>
    </row>
    <row r="374" spans="1:3">
      <c r="A374">
        <v>922.27779531246404</v>
      </c>
      <c r="B374">
        <v>976.44605927196267</v>
      </c>
      <c r="C374">
        <v>921.58478686682872</v>
      </c>
    </row>
    <row r="375" spans="1:3">
      <c r="A375">
        <v>922.27779531246404</v>
      </c>
      <c r="B375">
        <v>976.44605927196267</v>
      </c>
      <c r="C375">
        <v>921.58478686682872</v>
      </c>
    </row>
    <row r="376" spans="1:3">
      <c r="A376">
        <v>922.27779531246404</v>
      </c>
      <c r="B376">
        <v>976.44605927196267</v>
      </c>
      <c r="C376">
        <v>921.58478686682872</v>
      </c>
    </row>
    <row r="377" spans="1:3">
      <c r="A377">
        <v>922.27779531246404</v>
      </c>
      <c r="B377">
        <v>976.44605927196267</v>
      </c>
      <c r="C377">
        <v>921.58478686531885</v>
      </c>
    </row>
    <row r="378" spans="1:3">
      <c r="A378">
        <v>922.27778706458798</v>
      </c>
      <c r="B378">
        <v>976.44605927196267</v>
      </c>
      <c r="C378">
        <v>921.58478686531885</v>
      </c>
    </row>
    <row r="379" spans="1:3">
      <c r="A379">
        <v>922.27778706458798</v>
      </c>
      <c r="B379">
        <v>976.44605927196267</v>
      </c>
      <c r="C379">
        <v>921.58478686531885</v>
      </c>
    </row>
    <row r="380" spans="1:3">
      <c r="A380">
        <v>922.27777842939429</v>
      </c>
      <c r="B380">
        <v>976.44605927196267</v>
      </c>
      <c r="C380">
        <v>921.58478686476155</v>
      </c>
    </row>
    <row r="381" spans="1:3">
      <c r="A381">
        <v>922.27777842939429</v>
      </c>
      <c r="B381">
        <v>976.44605927196267</v>
      </c>
      <c r="C381">
        <v>921.58478686476155</v>
      </c>
    </row>
    <row r="382" spans="1:3">
      <c r="A382">
        <v>922.27776771855383</v>
      </c>
      <c r="B382">
        <v>976.44605927196267</v>
      </c>
      <c r="C382">
        <v>921.58478686438855</v>
      </c>
    </row>
    <row r="383" spans="1:3">
      <c r="A383">
        <v>922.2777674837688</v>
      </c>
      <c r="B383">
        <v>976.44605927196267</v>
      </c>
      <c r="C383">
        <v>921.58478686438855</v>
      </c>
    </row>
    <row r="384" spans="1:3">
      <c r="A384">
        <v>922.2777674837688</v>
      </c>
      <c r="B384">
        <v>976.44605927196267</v>
      </c>
      <c r="C384">
        <v>921.58478686438855</v>
      </c>
    </row>
    <row r="385" spans="1:3">
      <c r="A385">
        <v>922.2777674837688</v>
      </c>
      <c r="B385">
        <v>976.44605927196267</v>
      </c>
      <c r="C385">
        <v>921.58478686438855</v>
      </c>
    </row>
    <row r="386" spans="1:3">
      <c r="A386">
        <v>922.2777674837688</v>
      </c>
      <c r="B386">
        <v>976.44605927196267</v>
      </c>
      <c r="C386">
        <v>921.58478686438855</v>
      </c>
    </row>
    <row r="387" spans="1:3">
      <c r="A387">
        <v>922.2777674837688</v>
      </c>
      <c r="B387">
        <v>976.44605927196267</v>
      </c>
      <c r="C387">
        <v>921.58478686399781</v>
      </c>
    </row>
    <row r="388" spans="1:3">
      <c r="A388">
        <v>922.2777674837688</v>
      </c>
      <c r="B388">
        <v>976.44605927196267</v>
      </c>
      <c r="C388">
        <v>921.58478686399781</v>
      </c>
    </row>
    <row r="389" spans="1:3">
      <c r="A389">
        <v>922.2777674837688</v>
      </c>
      <c r="B389">
        <v>976.44605927196267</v>
      </c>
      <c r="C389">
        <v>921.58478686399781</v>
      </c>
    </row>
    <row r="390" spans="1:3">
      <c r="A390">
        <v>922.2777674837688</v>
      </c>
      <c r="B390">
        <v>976.44605927196267</v>
      </c>
      <c r="C390">
        <v>921.58478686399781</v>
      </c>
    </row>
    <row r="391" spans="1:3">
      <c r="A391">
        <v>922.27776351486602</v>
      </c>
      <c r="B391">
        <v>976.44605927196267</v>
      </c>
      <c r="C391">
        <v>921.58478686399781</v>
      </c>
    </row>
    <row r="392" spans="1:3">
      <c r="A392">
        <v>922.27776351486602</v>
      </c>
      <c r="B392">
        <v>976.44605927196267</v>
      </c>
      <c r="C392">
        <v>921.58478686385183</v>
      </c>
    </row>
    <row r="393" spans="1:3">
      <c r="A393">
        <v>922.27776351486602</v>
      </c>
      <c r="B393">
        <v>976.44605927196267</v>
      </c>
      <c r="C393">
        <v>921.5847868638258</v>
      </c>
    </row>
    <row r="394" spans="1:3">
      <c r="A394">
        <v>922.27776351486602</v>
      </c>
      <c r="B394">
        <v>976.44605927196267</v>
      </c>
      <c r="C394">
        <v>921.58478686380522</v>
      </c>
    </row>
    <row r="395" spans="1:3">
      <c r="A395">
        <v>922.27776351486602</v>
      </c>
      <c r="B395">
        <v>976.44605927196267</v>
      </c>
      <c r="C395">
        <v>921.58478686378851</v>
      </c>
    </row>
    <row r="396" spans="1:3">
      <c r="A396">
        <v>922.27775603616442</v>
      </c>
      <c r="B396">
        <v>976.44605927196267</v>
      </c>
      <c r="C396">
        <v>921.58478686377509</v>
      </c>
    </row>
    <row r="397" spans="1:3">
      <c r="A397">
        <v>922.27775603616442</v>
      </c>
      <c r="B397">
        <v>976.44605927196267</v>
      </c>
      <c r="C397">
        <v>921.58478686205228</v>
      </c>
    </row>
    <row r="398" spans="1:3">
      <c r="A398">
        <v>922.27775603616442</v>
      </c>
      <c r="B398">
        <v>976.44605927196267</v>
      </c>
      <c r="C398">
        <v>921.58478685925786</v>
      </c>
    </row>
    <row r="399" spans="1:3">
      <c r="A399">
        <v>922.2777363955546</v>
      </c>
      <c r="B399">
        <v>976.44605927196267</v>
      </c>
      <c r="C399">
        <v>921.5847868533117</v>
      </c>
    </row>
    <row r="400" spans="1:3">
      <c r="A400">
        <v>922.2777363955546</v>
      </c>
      <c r="B400">
        <v>976.44605927196267</v>
      </c>
      <c r="C400">
        <v>921.5847868499169</v>
      </c>
    </row>
    <row r="401" spans="1:3">
      <c r="A401">
        <v>922.2777363955546</v>
      </c>
      <c r="B401">
        <v>976.44605927196267</v>
      </c>
      <c r="C401">
        <v>921.5847868152174</v>
      </c>
    </row>
    <row r="402" spans="1:3">
      <c r="A402">
        <v>922.2777363955546</v>
      </c>
      <c r="B402">
        <v>976.44605927196267</v>
      </c>
      <c r="C402">
        <v>921.5847868152174</v>
      </c>
    </row>
    <row r="403" spans="1:3">
      <c r="A403">
        <v>922.2777363955546</v>
      </c>
      <c r="B403">
        <v>976.44605927196267</v>
      </c>
      <c r="C403">
        <v>921.5847868152174</v>
      </c>
    </row>
    <row r="404" spans="1:3">
      <c r="A404">
        <v>922.2777363955546</v>
      </c>
      <c r="B404">
        <v>976.44605927196267</v>
      </c>
      <c r="C404">
        <v>921.58478680490998</v>
      </c>
    </row>
    <row r="405" spans="1:3">
      <c r="A405">
        <v>922.2777363955546</v>
      </c>
      <c r="B405">
        <v>976.44605927196267</v>
      </c>
      <c r="C405">
        <v>921.58478678028723</v>
      </c>
    </row>
    <row r="406" spans="1:3">
      <c r="A406">
        <v>922.27772885506761</v>
      </c>
      <c r="B406">
        <v>976.44605927196267</v>
      </c>
      <c r="C406">
        <v>921.58478676671257</v>
      </c>
    </row>
    <row r="407" spans="1:3">
      <c r="A407">
        <v>922.27772885506761</v>
      </c>
      <c r="B407">
        <v>976.44605927196267</v>
      </c>
      <c r="C407">
        <v>921.58478675908668</v>
      </c>
    </row>
    <row r="408" spans="1:3">
      <c r="A408">
        <v>922.27770957889652</v>
      </c>
      <c r="B408">
        <v>976.44605927196267</v>
      </c>
      <c r="C408">
        <v>921.58478675908668</v>
      </c>
    </row>
    <row r="409" spans="1:3">
      <c r="A409">
        <v>922.27770957889652</v>
      </c>
      <c r="B409">
        <v>976.44605927196267</v>
      </c>
      <c r="C409">
        <v>921.58478674862579</v>
      </c>
    </row>
    <row r="410" spans="1:3">
      <c r="A410">
        <v>922.27770957889652</v>
      </c>
      <c r="B410">
        <v>976.44605927196267</v>
      </c>
      <c r="C410">
        <v>921.58478674862579</v>
      </c>
    </row>
    <row r="411" spans="1:3">
      <c r="A411">
        <v>922.27770933078705</v>
      </c>
      <c r="B411">
        <v>976.44605927196267</v>
      </c>
      <c r="C411">
        <v>921.58478674862579</v>
      </c>
    </row>
    <row r="412" spans="1:3">
      <c r="A412">
        <v>922.27770933078705</v>
      </c>
      <c r="B412">
        <v>976.44605927196267</v>
      </c>
      <c r="C412">
        <v>921.58478674862579</v>
      </c>
    </row>
    <row r="413" spans="1:3">
      <c r="A413">
        <v>922.27770230008321</v>
      </c>
      <c r="B413">
        <v>976.44605927196267</v>
      </c>
      <c r="C413">
        <v>921.58478674862579</v>
      </c>
    </row>
    <row r="414" spans="1:3">
      <c r="A414">
        <v>922.27770230008321</v>
      </c>
      <c r="B414">
        <v>976.44605927196267</v>
      </c>
      <c r="C414">
        <v>921.58478674862579</v>
      </c>
    </row>
    <row r="415" spans="1:3">
      <c r="A415">
        <v>922.27770230008321</v>
      </c>
      <c r="B415">
        <v>976.44605927196267</v>
      </c>
      <c r="C415">
        <v>921.58478673082493</v>
      </c>
    </row>
    <row r="416" spans="1:3">
      <c r="A416">
        <v>922.27770230008321</v>
      </c>
      <c r="B416">
        <v>976.44605927196267</v>
      </c>
      <c r="C416">
        <v>921.58478673082493</v>
      </c>
    </row>
    <row r="417" spans="1:3">
      <c r="A417">
        <v>922.27770230008321</v>
      </c>
      <c r="B417">
        <v>976.44605927196267</v>
      </c>
      <c r="C417">
        <v>921.58478673082493</v>
      </c>
    </row>
    <row r="418" spans="1:3">
      <c r="A418">
        <v>922.27770230008321</v>
      </c>
      <c r="B418">
        <v>976.44605927196267</v>
      </c>
      <c r="C418">
        <v>921.58478673082493</v>
      </c>
    </row>
    <row r="419" spans="1:3">
      <c r="A419">
        <v>922.27770230008321</v>
      </c>
      <c r="B419">
        <v>976.44605927196267</v>
      </c>
      <c r="C419">
        <v>921.58478673082493</v>
      </c>
    </row>
    <row r="420" spans="1:3">
      <c r="A420">
        <v>922.27770230008321</v>
      </c>
      <c r="B420">
        <v>976.44605927196267</v>
      </c>
      <c r="C420">
        <v>921.58478672582976</v>
      </c>
    </row>
    <row r="421" spans="1:3">
      <c r="A421">
        <v>922.27770230008321</v>
      </c>
      <c r="B421">
        <v>976.44605927196267</v>
      </c>
      <c r="C421">
        <v>921.58478671549801</v>
      </c>
    </row>
    <row r="422" spans="1:3">
      <c r="A422">
        <v>922.27770230008321</v>
      </c>
      <c r="B422">
        <v>976.44605927196267</v>
      </c>
      <c r="C422">
        <v>921.58478671549801</v>
      </c>
    </row>
    <row r="423" spans="1:3">
      <c r="A423">
        <v>922.27770118859542</v>
      </c>
      <c r="B423">
        <v>976.44605927196267</v>
      </c>
      <c r="C423">
        <v>921.58478671549801</v>
      </c>
    </row>
    <row r="424" spans="1:3">
      <c r="A424">
        <v>922.27770118859542</v>
      </c>
      <c r="B424">
        <v>976.44605927196267</v>
      </c>
      <c r="C424">
        <v>921.58478671549801</v>
      </c>
    </row>
    <row r="425" spans="1:3">
      <c r="A425">
        <v>922.27770118859542</v>
      </c>
      <c r="B425">
        <v>976.44605927196267</v>
      </c>
      <c r="C425">
        <v>921.58478671549801</v>
      </c>
    </row>
    <row r="426" spans="1:3">
      <c r="A426">
        <v>922.27770118859542</v>
      </c>
      <c r="B426">
        <v>976.44605927196267</v>
      </c>
      <c r="C426">
        <v>921.58478671549801</v>
      </c>
    </row>
    <row r="427" spans="1:3">
      <c r="A427">
        <v>922.27770118859542</v>
      </c>
      <c r="B427">
        <v>976.44605927196267</v>
      </c>
      <c r="C427">
        <v>921.58478671549801</v>
      </c>
    </row>
    <row r="428" spans="1:3">
      <c r="A428">
        <v>922.27770118859542</v>
      </c>
      <c r="B428">
        <v>976.44605927196267</v>
      </c>
      <c r="C428">
        <v>921.58478671549801</v>
      </c>
    </row>
    <row r="429" spans="1:3">
      <c r="A429">
        <v>922.27770118859542</v>
      </c>
      <c r="B429">
        <v>976.44605927196267</v>
      </c>
      <c r="C429">
        <v>921.58478671549801</v>
      </c>
    </row>
    <row r="430" spans="1:3">
      <c r="A430">
        <v>922.27770118859542</v>
      </c>
      <c r="B430">
        <v>976.44605927196267</v>
      </c>
      <c r="C430">
        <v>921.5847867133283</v>
      </c>
    </row>
    <row r="431" spans="1:3">
      <c r="A431">
        <v>922.27770118859542</v>
      </c>
      <c r="B431">
        <v>976.44605927196267</v>
      </c>
      <c r="C431">
        <v>921.5847867133283</v>
      </c>
    </row>
    <row r="432" spans="1:3">
      <c r="A432">
        <v>922.27770118859542</v>
      </c>
      <c r="B432">
        <v>976.44605927196267</v>
      </c>
      <c r="C432">
        <v>921.5847867133283</v>
      </c>
    </row>
    <row r="433" spans="1:3">
      <c r="A433">
        <v>922.27770118859542</v>
      </c>
      <c r="B433">
        <v>976.44605927196267</v>
      </c>
      <c r="C433">
        <v>921.58478671301236</v>
      </c>
    </row>
    <row r="434" spans="1:3">
      <c r="A434">
        <v>922.27770118859542</v>
      </c>
      <c r="B434">
        <v>976.44605927196267</v>
      </c>
      <c r="C434">
        <v>921.58478671106718</v>
      </c>
    </row>
    <row r="435" spans="1:3">
      <c r="A435">
        <v>922.27770118859542</v>
      </c>
      <c r="B435">
        <v>976.44605927196267</v>
      </c>
      <c r="C435">
        <v>921.58478671106718</v>
      </c>
    </row>
    <row r="436" spans="1:3">
      <c r="A436">
        <v>922.27770118859542</v>
      </c>
      <c r="B436">
        <v>976.44605927196267</v>
      </c>
      <c r="C436">
        <v>921.58478671106718</v>
      </c>
    </row>
    <row r="437" spans="1:3">
      <c r="A437">
        <v>922.27770118859542</v>
      </c>
      <c r="B437">
        <v>976.44605927196267</v>
      </c>
      <c r="C437">
        <v>921.58478670923023</v>
      </c>
    </row>
    <row r="438" spans="1:3">
      <c r="A438">
        <v>922.27770118859542</v>
      </c>
      <c r="B438">
        <v>976.44605927196267</v>
      </c>
      <c r="C438">
        <v>921.58478670923023</v>
      </c>
    </row>
    <row r="439" spans="1:3">
      <c r="A439">
        <v>922.27770118859542</v>
      </c>
      <c r="B439">
        <v>976.44605927196267</v>
      </c>
      <c r="C439">
        <v>921.58478670923023</v>
      </c>
    </row>
    <row r="440" spans="1:3">
      <c r="A440">
        <v>922.27770118859542</v>
      </c>
      <c r="B440">
        <v>976.44605927196267</v>
      </c>
      <c r="C440">
        <v>921.58478670923023</v>
      </c>
    </row>
    <row r="441" spans="1:3">
      <c r="A441">
        <v>922.27770118859542</v>
      </c>
      <c r="B441">
        <v>976.44605927196267</v>
      </c>
      <c r="C441">
        <v>921.58478670923023</v>
      </c>
    </row>
    <row r="442" spans="1:3">
      <c r="A442">
        <v>922.27770088134969</v>
      </c>
      <c r="B442">
        <v>976.44605927196267</v>
      </c>
      <c r="C442">
        <v>921.58478670923023</v>
      </c>
    </row>
    <row r="443" spans="1:3">
      <c r="A443">
        <v>922.27770088134969</v>
      </c>
      <c r="B443">
        <v>976.44605927196267</v>
      </c>
      <c r="C443">
        <v>921.58478670923023</v>
      </c>
    </row>
    <row r="444" spans="1:3">
      <c r="A444">
        <v>922.27770088134969</v>
      </c>
      <c r="B444">
        <v>976.44605927196267</v>
      </c>
      <c r="C444">
        <v>921.58478670923023</v>
      </c>
    </row>
    <row r="445" spans="1:3">
      <c r="A445">
        <v>922.27770088134969</v>
      </c>
      <c r="B445">
        <v>976.44605927196267</v>
      </c>
      <c r="C445">
        <v>921.58478670891134</v>
      </c>
    </row>
    <row r="446" spans="1:3">
      <c r="A446">
        <v>922.27770088134969</v>
      </c>
      <c r="B446">
        <v>976.44605927196267</v>
      </c>
      <c r="C446">
        <v>921.58478670891134</v>
      </c>
    </row>
    <row r="447" spans="1:3">
      <c r="A447">
        <v>922.27770088134969</v>
      </c>
      <c r="B447">
        <v>976.44605927196267</v>
      </c>
      <c r="C447">
        <v>921.58478670650777</v>
      </c>
    </row>
    <row r="448" spans="1:3">
      <c r="A448">
        <v>922.27769959362854</v>
      </c>
      <c r="B448">
        <v>976.44605927196267</v>
      </c>
      <c r="C448">
        <v>921.58478670572606</v>
      </c>
    </row>
    <row r="449" spans="1:3">
      <c r="A449">
        <v>922.27021796913493</v>
      </c>
      <c r="B449">
        <v>976.44605927196267</v>
      </c>
      <c r="C449">
        <v>921.58478670572606</v>
      </c>
    </row>
    <row r="450" spans="1:3">
      <c r="A450">
        <v>922.27021796913493</v>
      </c>
      <c r="B450">
        <v>976.44605927196267</v>
      </c>
      <c r="C450">
        <v>921.58478670381692</v>
      </c>
    </row>
    <row r="451" spans="1:3">
      <c r="A451">
        <v>922.27021796913493</v>
      </c>
      <c r="B451">
        <v>976.44605927196267</v>
      </c>
      <c r="C451">
        <v>921.58478670381692</v>
      </c>
    </row>
    <row r="452" spans="1:3">
      <c r="A452">
        <v>922.26756792597553</v>
      </c>
      <c r="B452">
        <v>976.44605927196267</v>
      </c>
      <c r="C452">
        <v>921.58478670381692</v>
      </c>
    </row>
    <row r="453" spans="1:3">
      <c r="A453">
        <v>922.26756792597553</v>
      </c>
      <c r="B453">
        <v>976.44605927196267</v>
      </c>
      <c r="C453">
        <v>921.58478670366912</v>
      </c>
    </row>
    <row r="454" spans="1:3">
      <c r="A454">
        <v>922.26739720350736</v>
      </c>
      <c r="B454">
        <v>976.44605927196267</v>
      </c>
      <c r="C454">
        <v>921.58478670305453</v>
      </c>
    </row>
    <row r="455" spans="1:3">
      <c r="A455">
        <v>922.26505079715537</v>
      </c>
      <c r="B455">
        <v>976.44605927196267</v>
      </c>
      <c r="C455">
        <v>921.58478670256284</v>
      </c>
    </row>
    <row r="456" spans="1:3">
      <c r="A456">
        <v>922.26317417863709</v>
      </c>
      <c r="B456">
        <v>976.44605927196267</v>
      </c>
      <c r="C456">
        <v>921.58478670122838</v>
      </c>
    </row>
    <row r="457" spans="1:3">
      <c r="A457">
        <v>922.26126081029042</v>
      </c>
      <c r="B457">
        <v>976.44605927196267</v>
      </c>
      <c r="C457">
        <v>921.58478670122838</v>
      </c>
    </row>
    <row r="458" spans="1:3">
      <c r="A458">
        <v>922.25984043014319</v>
      </c>
      <c r="B458">
        <v>976.44605927196267</v>
      </c>
      <c r="C458">
        <v>921.58478670031116</v>
      </c>
    </row>
    <row r="459" spans="1:3">
      <c r="A459">
        <v>922.25984043014319</v>
      </c>
      <c r="B459">
        <v>976.44605927196267</v>
      </c>
      <c r="C459">
        <v>921.58478670031116</v>
      </c>
    </row>
    <row r="460" spans="1:3">
      <c r="A460">
        <v>922.25984043014319</v>
      </c>
      <c r="B460">
        <v>976.44605927196267</v>
      </c>
      <c r="C460">
        <v>921.58478670031116</v>
      </c>
    </row>
    <row r="461" spans="1:3">
      <c r="A461">
        <v>922.25984043014319</v>
      </c>
      <c r="B461">
        <v>976.44605927196267</v>
      </c>
      <c r="C461">
        <v>921.58478670019826</v>
      </c>
    </row>
    <row r="462" spans="1:3">
      <c r="A462">
        <v>922.25984043014319</v>
      </c>
      <c r="B462">
        <v>976.44605927196267</v>
      </c>
      <c r="C462">
        <v>921.58478670019826</v>
      </c>
    </row>
    <row r="463" spans="1:3">
      <c r="A463">
        <v>922.25984043014319</v>
      </c>
      <c r="B463">
        <v>976.44605927196267</v>
      </c>
      <c r="C463">
        <v>921.58478670019826</v>
      </c>
    </row>
    <row r="464" spans="1:3">
      <c r="A464">
        <v>922.25984043014319</v>
      </c>
      <c r="B464">
        <v>976.44605927196267</v>
      </c>
      <c r="C464">
        <v>921.58478669653573</v>
      </c>
    </row>
    <row r="465" spans="1:3">
      <c r="A465">
        <v>922.25984043014319</v>
      </c>
      <c r="B465">
        <v>976.44605927196267</v>
      </c>
      <c r="C465">
        <v>921.58478669653573</v>
      </c>
    </row>
    <row r="466" spans="1:3">
      <c r="A466">
        <v>922.25984043014319</v>
      </c>
      <c r="B466">
        <v>976.44605927196267</v>
      </c>
      <c r="C466">
        <v>921.58478668887096</v>
      </c>
    </row>
    <row r="467" spans="1:3">
      <c r="A467">
        <v>922.25984043014319</v>
      </c>
      <c r="B467">
        <v>976.44605927196267</v>
      </c>
      <c r="C467">
        <v>921.58478668887096</v>
      </c>
    </row>
    <row r="468" spans="1:3">
      <c r="A468">
        <v>922.25984043014319</v>
      </c>
      <c r="B468">
        <v>976.44605927196267</v>
      </c>
      <c r="C468">
        <v>921.58478668887096</v>
      </c>
    </row>
    <row r="469" spans="1:3">
      <c r="A469">
        <v>922.25984043014319</v>
      </c>
      <c r="B469">
        <v>976.44605927196267</v>
      </c>
      <c r="C469">
        <v>921.58478668887096</v>
      </c>
    </row>
    <row r="470" spans="1:3">
      <c r="A470">
        <v>922.2575647917829</v>
      </c>
      <c r="B470">
        <v>976.44605927196267</v>
      </c>
      <c r="C470">
        <v>921.58478668887096</v>
      </c>
    </row>
    <row r="471" spans="1:3">
      <c r="A471">
        <v>922.2575647917829</v>
      </c>
      <c r="B471">
        <v>976.44605927196267</v>
      </c>
      <c r="C471">
        <v>921.58478668887096</v>
      </c>
    </row>
    <row r="472" spans="1:3">
      <c r="A472">
        <v>922.25745463959038</v>
      </c>
      <c r="B472">
        <v>976.44605927196267</v>
      </c>
      <c r="C472">
        <v>921.58478668887096</v>
      </c>
    </row>
    <row r="473" spans="1:3">
      <c r="A473">
        <v>922.25745463959038</v>
      </c>
      <c r="B473">
        <v>976.44605927196267</v>
      </c>
      <c r="C473">
        <v>921.58478668092641</v>
      </c>
    </row>
    <row r="474" spans="1:3">
      <c r="A474">
        <v>922.25745463959038</v>
      </c>
      <c r="B474">
        <v>976.44605927196267</v>
      </c>
      <c r="C474">
        <v>921.58478668092641</v>
      </c>
    </row>
    <row r="475" spans="1:3">
      <c r="A475">
        <v>922.25745463959038</v>
      </c>
      <c r="B475">
        <v>976.44605927196267</v>
      </c>
      <c r="C475">
        <v>921.58478668092641</v>
      </c>
    </row>
    <row r="476" spans="1:3">
      <c r="A476">
        <v>922.25745463959038</v>
      </c>
      <c r="B476">
        <v>976.44605927196267</v>
      </c>
      <c r="C476">
        <v>921.58478665969972</v>
      </c>
    </row>
    <row r="477" spans="1:3">
      <c r="A477">
        <v>922.25614736074976</v>
      </c>
      <c r="B477">
        <v>976.44605927196267</v>
      </c>
      <c r="C477">
        <v>921.58478665969972</v>
      </c>
    </row>
    <row r="478" spans="1:3">
      <c r="A478">
        <v>922.25614736074976</v>
      </c>
      <c r="B478">
        <v>976.44605927196267</v>
      </c>
      <c r="C478">
        <v>921.58478665969972</v>
      </c>
    </row>
    <row r="479" spans="1:3">
      <c r="A479">
        <v>922.25510601608482</v>
      </c>
      <c r="B479">
        <v>976.44605927196267</v>
      </c>
      <c r="C479">
        <v>921.58478665969972</v>
      </c>
    </row>
    <row r="480" spans="1:3">
      <c r="A480">
        <v>922.25510601608482</v>
      </c>
      <c r="B480">
        <v>976.44605927196267</v>
      </c>
      <c r="C480">
        <v>921.58478665969972</v>
      </c>
    </row>
    <row r="481" spans="1:3">
      <c r="A481">
        <v>922.25510601608482</v>
      </c>
      <c r="B481">
        <v>976.44605927196267</v>
      </c>
      <c r="C481">
        <v>921.58478665969972</v>
      </c>
    </row>
    <row r="482" spans="1:3">
      <c r="A482">
        <v>922.25447868752838</v>
      </c>
      <c r="B482">
        <v>976.44605927196267</v>
      </c>
      <c r="C482">
        <v>921.58478665969972</v>
      </c>
    </row>
    <row r="483" spans="1:3">
      <c r="A483">
        <v>922.25447868752838</v>
      </c>
      <c r="B483">
        <v>976.44605927196267</v>
      </c>
      <c r="C483">
        <v>921.58478665969972</v>
      </c>
    </row>
    <row r="484" spans="1:3">
      <c r="A484">
        <v>922.25447868752838</v>
      </c>
      <c r="B484">
        <v>976.44605927196267</v>
      </c>
      <c r="C484">
        <v>921.58478665969972</v>
      </c>
    </row>
    <row r="485" spans="1:3">
      <c r="A485">
        <v>922.25447868752838</v>
      </c>
      <c r="B485">
        <v>976.44605927196267</v>
      </c>
      <c r="C485">
        <v>921.58478665969972</v>
      </c>
    </row>
    <row r="486" spans="1:3">
      <c r="A486">
        <v>922.25447868752838</v>
      </c>
      <c r="B486">
        <v>976.44605927196267</v>
      </c>
      <c r="C486">
        <v>921.58478665568884</v>
      </c>
    </row>
    <row r="487" spans="1:3">
      <c r="A487">
        <v>922.25399062886618</v>
      </c>
      <c r="B487">
        <v>976.44605927196267</v>
      </c>
      <c r="C487">
        <v>921.58478665086295</v>
      </c>
    </row>
    <row r="488" spans="1:3">
      <c r="A488">
        <v>922.25399062886618</v>
      </c>
      <c r="B488">
        <v>976.44605927196267</v>
      </c>
      <c r="C488">
        <v>921.58478663934716</v>
      </c>
    </row>
    <row r="489" spans="1:3">
      <c r="A489">
        <v>922.25399062886618</v>
      </c>
      <c r="B489">
        <v>976.44605927196267</v>
      </c>
      <c r="C489">
        <v>921.58478663934716</v>
      </c>
    </row>
    <row r="490" spans="1:3">
      <c r="A490">
        <v>922.25399062886618</v>
      </c>
      <c r="B490">
        <v>976.44605927196267</v>
      </c>
      <c r="C490">
        <v>921.58478663934716</v>
      </c>
    </row>
    <row r="491" spans="1:3">
      <c r="A491">
        <v>922.25399062886618</v>
      </c>
      <c r="B491">
        <v>976.44605927196267</v>
      </c>
      <c r="C491">
        <v>921.58478663934716</v>
      </c>
    </row>
    <row r="492" spans="1:3">
      <c r="A492">
        <v>922.25399062886618</v>
      </c>
      <c r="B492">
        <v>976.44605927196267</v>
      </c>
      <c r="C492">
        <v>921.58478663934716</v>
      </c>
    </row>
    <row r="493" spans="1:3">
      <c r="A493">
        <v>922.25399062886618</v>
      </c>
      <c r="B493">
        <v>976.44605927196267</v>
      </c>
      <c r="C493">
        <v>921.58478663934716</v>
      </c>
    </row>
    <row r="494" spans="1:3">
      <c r="A494">
        <v>922.25399062886618</v>
      </c>
      <c r="B494">
        <v>976.44605927196267</v>
      </c>
      <c r="C494">
        <v>921.58478663934716</v>
      </c>
    </row>
    <row r="495" spans="1:3">
      <c r="A495">
        <v>922.25399062886618</v>
      </c>
      <c r="B495">
        <v>976.44605927196267</v>
      </c>
      <c r="C495">
        <v>921.58478663934716</v>
      </c>
    </row>
    <row r="496" spans="1:3">
      <c r="A496">
        <v>922.25399062886618</v>
      </c>
      <c r="B496">
        <v>976.44605927196267</v>
      </c>
      <c r="C496">
        <v>921.58478663759024</v>
      </c>
    </row>
    <row r="497" spans="1:3">
      <c r="A497">
        <v>922.25399062886618</v>
      </c>
      <c r="B497">
        <v>976.44605927196267</v>
      </c>
      <c r="C497">
        <v>921.58478663759024</v>
      </c>
    </row>
    <row r="498" spans="1:3">
      <c r="A498">
        <v>922.25395952618419</v>
      </c>
      <c r="B498">
        <v>976.44605927196267</v>
      </c>
      <c r="C498">
        <v>921.58478663759024</v>
      </c>
    </row>
    <row r="499" spans="1:3">
      <c r="A499">
        <v>922.25395952618419</v>
      </c>
      <c r="B499">
        <v>976.44605927196267</v>
      </c>
      <c r="C499">
        <v>921.58478663759024</v>
      </c>
    </row>
    <row r="500" spans="1:3">
      <c r="A500">
        <v>922.25395952618419</v>
      </c>
      <c r="B500">
        <v>976.44605927196267</v>
      </c>
      <c r="C500">
        <v>921.58478663759024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9D1A33-89BB-1A4B-B4F1-F3FBD159F4CF}">
  <sheetPr codeName="Sheet1"/>
  <dimension ref="A1:C500"/>
  <sheetViews>
    <sheetView workbookViewId="0">
      <selection activeCell="B19" sqref="B19"/>
    </sheetView>
  </sheetViews>
  <sheetFormatPr baseColWidth="10" defaultRowHeight="16"/>
  <cols>
    <col min="1" max="2" width="12.1640625" style="5" bestFit="1" customWidth="1"/>
    <col min="3" max="3" width="10.83203125" style="4"/>
  </cols>
  <sheetData>
    <row r="1" spans="1:3">
      <c r="A1"/>
      <c r="B1"/>
      <c r="C1"/>
    </row>
    <row r="2" spans="1:3">
      <c r="A2"/>
      <c r="B2"/>
      <c r="C2"/>
    </row>
    <row r="3" spans="1:3">
      <c r="A3"/>
      <c r="B3"/>
      <c r="C3"/>
    </row>
    <row r="4" spans="1:3">
      <c r="A4"/>
      <c r="B4"/>
      <c r="C4"/>
    </row>
    <row r="5" spans="1:3">
      <c r="A5"/>
      <c r="B5"/>
      <c r="C5"/>
    </row>
    <row r="6" spans="1:3">
      <c r="A6"/>
      <c r="B6"/>
      <c r="C6"/>
    </row>
    <row r="7" spans="1:3">
      <c r="A7"/>
      <c r="B7"/>
      <c r="C7"/>
    </row>
    <row r="8" spans="1:3">
      <c r="A8"/>
      <c r="B8"/>
      <c r="C8"/>
    </row>
    <row r="9" spans="1:3">
      <c r="A9"/>
      <c r="B9"/>
      <c r="C9"/>
    </row>
    <row r="10" spans="1:3">
      <c r="A10"/>
      <c r="B10"/>
      <c r="C10"/>
    </row>
    <row r="11" spans="1:3">
      <c r="A11"/>
      <c r="B11"/>
      <c r="C11"/>
    </row>
    <row r="12" spans="1:3">
      <c r="A12"/>
      <c r="B12"/>
      <c r="C12"/>
    </row>
    <row r="13" spans="1:3">
      <c r="A13"/>
      <c r="B13"/>
      <c r="C13"/>
    </row>
    <row r="14" spans="1:3">
      <c r="A14"/>
      <c r="B14"/>
      <c r="C14"/>
    </row>
    <row r="15" spans="1:3">
      <c r="A15"/>
      <c r="B15"/>
      <c r="C15"/>
    </row>
    <row r="16" spans="1:3">
      <c r="A16"/>
      <c r="B16"/>
      <c r="C16"/>
    </row>
    <row r="17" spans="1:3">
      <c r="A17"/>
      <c r="B17"/>
      <c r="C17"/>
    </row>
    <row r="18" spans="1:3">
      <c r="A18"/>
      <c r="B18"/>
      <c r="C18"/>
    </row>
    <row r="19" spans="1:3">
      <c r="A19"/>
      <c r="B19"/>
      <c r="C19"/>
    </row>
    <row r="20" spans="1:3">
      <c r="A20"/>
      <c r="B20"/>
      <c r="C20"/>
    </row>
    <row r="21" spans="1:3">
      <c r="A21"/>
      <c r="B21"/>
      <c r="C21"/>
    </row>
    <row r="22" spans="1:3">
      <c r="A22"/>
      <c r="B22"/>
      <c r="C22"/>
    </row>
    <row r="23" spans="1:3">
      <c r="A23"/>
      <c r="B23"/>
      <c r="C23"/>
    </row>
    <row r="24" spans="1:3">
      <c r="A24"/>
      <c r="B24"/>
      <c r="C24"/>
    </row>
    <row r="25" spans="1:3">
      <c r="A25"/>
      <c r="B25"/>
      <c r="C25"/>
    </row>
    <row r="26" spans="1:3">
      <c r="A26"/>
      <c r="B26"/>
      <c r="C26"/>
    </row>
    <row r="27" spans="1:3">
      <c r="A27"/>
      <c r="B27"/>
      <c r="C27"/>
    </row>
    <row r="28" spans="1:3">
      <c r="A28"/>
      <c r="B28"/>
      <c r="C28"/>
    </row>
    <row r="29" spans="1:3">
      <c r="A29"/>
      <c r="B29"/>
      <c r="C29"/>
    </row>
    <row r="30" spans="1:3">
      <c r="A30"/>
      <c r="B30"/>
      <c r="C30"/>
    </row>
    <row r="31" spans="1:3">
      <c r="A31"/>
      <c r="B31"/>
      <c r="C31"/>
    </row>
    <row r="32" spans="1:3">
      <c r="A32"/>
      <c r="B32"/>
      <c r="C32"/>
    </row>
    <row r="33" spans="1:3">
      <c r="A33"/>
      <c r="B33"/>
      <c r="C33"/>
    </row>
    <row r="34" spans="1:3">
      <c r="A34"/>
      <c r="B34"/>
      <c r="C34"/>
    </row>
    <row r="35" spans="1:3">
      <c r="A35"/>
      <c r="B35"/>
      <c r="C35"/>
    </row>
    <row r="36" spans="1:3">
      <c r="A36"/>
      <c r="B36"/>
      <c r="C36"/>
    </row>
    <row r="37" spans="1:3">
      <c r="A37"/>
      <c r="B37"/>
      <c r="C37"/>
    </row>
    <row r="38" spans="1:3">
      <c r="A38"/>
      <c r="B38"/>
      <c r="C38"/>
    </row>
    <row r="39" spans="1:3">
      <c r="A39"/>
      <c r="B39"/>
      <c r="C39"/>
    </row>
    <row r="40" spans="1:3">
      <c r="A40"/>
      <c r="B40"/>
      <c r="C40"/>
    </row>
    <row r="41" spans="1:3">
      <c r="A41"/>
      <c r="B41"/>
      <c r="C41"/>
    </row>
    <row r="42" spans="1:3">
      <c r="A42"/>
      <c r="B42"/>
      <c r="C42"/>
    </row>
    <row r="43" spans="1:3">
      <c r="A43"/>
      <c r="B43"/>
      <c r="C43"/>
    </row>
    <row r="44" spans="1:3">
      <c r="A44"/>
      <c r="B44"/>
      <c r="C44"/>
    </row>
    <row r="45" spans="1:3">
      <c r="A45"/>
      <c r="B45"/>
      <c r="C45"/>
    </row>
    <row r="46" spans="1:3">
      <c r="A46"/>
      <c r="B46"/>
      <c r="C46"/>
    </row>
    <row r="47" spans="1:3">
      <c r="A47"/>
      <c r="B47"/>
      <c r="C47"/>
    </row>
    <row r="48" spans="1:3">
      <c r="A48"/>
      <c r="B48"/>
      <c r="C48"/>
    </row>
    <row r="49" spans="1:3">
      <c r="A49"/>
      <c r="B49"/>
      <c r="C49"/>
    </row>
    <row r="50" spans="1:3">
      <c r="A50"/>
      <c r="B50"/>
      <c r="C50"/>
    </row>
    <row r="51" spans="1:3">
      <c r="A51"/>
      <c r="B51"/>
      <c r="C51"/>
    </row>
    <row r="52" spans="1:3">
      <c r="A52"/>
      <c r="B52"/>
      <c r="C52"/>
    </row>
    <row r="53" spans="1:3">
      <c r="A53"/>
      <c r="B53"/>
      <c r="C53"/>
    </row>
    <row r="54" spans="1:3">
      <c r="A54"/>
      <c r="B54"/>
      <c r="C54"/>
    </row>
    <row r="55" spans="1:3">
      <c r="A55"/>
      <c r="B55"/>
      <c r="C55"/>
    </row>
    <row r="56" spans="1:3">
      <c r="A56"/>
      <c r="B56"/>
      <c r="C56"/>
    </row>
    <row r="57" spans="1:3">
      <c r="A57"/>
      <c r="B57"/>
      <c r="C57"/>
    </row>
    <row r="58" spans="1:3">
      <c r="A58"/>
      <c r="B58"/>
      <c r="C58"/>
    </row>
    <row r="59" spans="1:3">
      <c r="A59"/>
      <c r="B59"/>
      <c r="C59"/>
    </row>
    <row r="60" spans="1:3">
      <c r="A60"/>
      <c r="B60"/>
      <c r="C60"/>
    </row>
    <row r="61" spans="1:3">
      <c r="A61"/>
      <c r="B61"/>
      <c r="C61"/>
    </row>
    <row r="62" spans="1:3">
      <c r="A62"/>
      <c r="B62"/>
      <c r="C62"/>
    </row>
    <row r="63" spans="1:3">
      <c r="A63"/>
      <c r="B63"/>
      <c r="C63"/>
    </row>
    <row r="64" spans="1:3">
      <c r="A64"/>
      <c r="B64"/>
      <c r="C64"/>
    </row>
    <row r="65" spans="1:3">
      <c r="A65"/>
      <c r="B65"/>
      <c r="C65"/>
    </row>
    <row r="66" spans="1:3">
      <c r="A66"/>
      <c r="B66"/>
      <c r="C66"/>
    </row>
    <row r="67" spans="1:3">
      <c r="A67"/>
      <c r="B67"/>
      <c r="C67"/>
    </row>
    <row r="68" spans="1:3">
      <c r="A68"/>
      <c r="B68"/>
      <c r="C68"/>
    </row>
    <row r="69" spans="1:3">
      <c r="A69"/>
      <c r="B69"/>
      <c r="C69"/>
    </row>
    <row r="70" spans="1:3">
      <c r="A70"/>
      <c r="B70"/>
      <c r="C70"/>
    </row>
    <row r="71" spans="1:3">
      <c r="A71"/>
      <c r="B71"/>
      <c r="C71"/>
    </row>
    <row r="72" spans="1:3">
      <c r="A72"/>
      <c r="B72"/>
      <c r="C72"/>
    </row>
    <row r="73" spans="1:3">
      <c r="A73"/>
      <c r="B73"/>
      <c r="C73"/>
    </row>
    <row r="74" spans="1:3">
      <c r="A74"/>
      <c r="B74"/>
      <c r="C74"/>
    </row>
    <row r="75" spans="1:3">
      <c r="A75"/>
      <c r="B75"/>
      <c r="C75"/>
    </row>
    <row r="76" spans="1:3">
      <c r="A76"/>
      <c r="B76"/>
      <c r="C76"/>
    </row>
    <row r="77" spans="1:3">
      <c r="A77"/>
      <c r="B77"/>
      <c r="C77"/>
    </row>
    <row r="78" spans="1:3">
      <c r="A78"/>
      <c r="B78"/>
      <c r="C78"/>
    </row>
    <row r="79" spans="1:3">
      <c r="A79"/>
      <c r="B79"/>
      <c r="C79"/>
    </row>
    <row r="80" spans="1:3">
      <c r="A80"/>
      <c r="B80"/>
      <c r="C80"/>
    </row>
    <row r="81" spans="1:3">
      <c r="A81"/>
      <c r="B81"/>
      <c r="C81"/>
    </row>
    <row r="82" spans="1:3">
      <c r="A82"/>
      <c r="B82"/>
      <c r="C82"/>
    </row>
    <row r="83" spans="1:3">
      <c r="A83"/>
      <c r="B83"/>
      <c r="C83"/>
    </row>
    <row r="84" spans="1:3">
      <c r="A84"/>
      <c r="B84"/>
      <c r="C84"/>
    </row>
    <row r="85" spans="1:3">
      <c r="A85"/>
      <c r="B85"/>
      <c r="C85"/>
    </row>
    <row r="86" spans="1:3">
      <c r="A86"/>
      <c r="B86"/>
      <c r="C86"/>
    </row>
    <row r="87" spans="1:3">
      <c r="A87"/>
      <c r="B87"/>
      <c r="C87"/>
    </row>
    <row r="88" spans="1:3">
      <c r="A88"/>
      <c r="B88"/>
      <c r="C88"/>
    </row>
    <row r="89" spans="1:3">
      <c r="A89"/>
      <c r="B89"/>
      <c r="C89"/>
    </row>
    <row r="90" spans="1:3">
      <c r="A90"/>
      <c r="B90"/>
      <c r="C90"/>
    </row>
    <row r="91" spans="1:3">
      <c r="A91"/>
      <c r="B91"/>
      <c r="C91"/>
    </row>
    <row r="92" spans="1:3">
      <c r="A92"/>
      <c r="B92"/>
      <c r="C92"/>
    </row>
    <row r="93" spans="1:3">
      <c r="A93"/>
      <c r="B93"/>
      <c r="C93"/>
    </row>
    <row r="94" spans="1:3">
      <c r="A94"/>
      <c r="B94"/>
      <c r="C94"/>
    </row>
    <row r="95" spans="1:3">
      <c r="A95"/>
      <c r="B95"/>
      <c r="C95"/>
    </row>
    <row r="96" spans="1:3">
      <c r="A96"/>
      <c r="B96"/>
      <c r="C96"/>
    </row>
    <row r="97" spans="1:3">
      <c r="A97"/>
      <c r="B97"/>
      <c r="C97"/>
    </row>
    <row r="98" spans="1:3">
      <c r="A98"/>
      <c r="B98"/>
      <c r="C98"/>
    </row>
    <row r="99" spans="1:3">
      <c r="A99"/>
      <c r="B99"/>
      <c r="C99"/>
    </row>
    <row r="100" spans="1:3">
      <c r="A100"/>
      <c r="B100"/>
      <c r="C100"/>
    </row>
    <row r="101" spans="1:3">
      <c r="A101"/>
      <c r="B101"/>
      <c r="C101"/>
    </row>
    <row r="102" spans="1:3">
      <c r="A102"/>
      <c r="B102"/>
      <c r="C102"/>
    </row>
    <row r="103" spans="1:3">
      <c r="A103"/>
      <c r="B103"/>
      <c r="C103"/>
    </row>
    <row r="104" spans="1:3">
      <c r="A104"/>
      <c r="B104"/>
      <c r="C104"/>
    </row>
    <row r="105" spans="1:3">
      <c r="A105"/>
      <c r="B105"/>
      <c r="C105"/>
    </row>
    <row r="106" spans="1:3">
      <c r="A106"/>
      <c r="B106"/>
      <c r="C106"/>
    </row>
    <row r="107" spans="1:3">
      <c r="A107"/>
      <c r="B107"/>
      <c r="C107"/>
    </row>
    <row r="108" spans="1:3">
      <c r="A108"/>
      <c r="B108"/>
      <c r="C108"/>
    </row>
    <row r="109" spans="1:3">
      <c r="A109"/>
      <c r="B109"/>
      <c r="C109"/>
    </row>
    <row r="110" spans="1:3">
      <c r="A110"/>
      <c r="B110"/>
      <c r="C110"/>
    </row>
    <row r="111" spans="1:3">
      <c r="A111"/>
      <c r="B111"/>
      <c r="C111"/>
    </row>
    <row r="112" spans="1:3">
      <c r="A112"/>
      <c r="B112"/>
      <c r="C112"/>
    </row>
    <row r="113" spans="1:3">
      <c r="A113"/>
      <c r="B113"/>
      <c r="C113"/>
    </row>
    <row r="114" spans="1:3">
      <c r="A114"/>
      <c r="B114"/>
      <c r="C114"/>
    </row>
    <row r="115" spans="1:3">
      <c r="A115"/>
      <c r="B115"/>
      <c r="C115"/>
    </row>
    <row r="116" spans="1:3">
      <c r="A116"/>
      <c r="B116"/>
      <c r="C116"/>
    </row>
    <row r="117" spans="1:3">
      <c r="A117"/>
      <c r="B117"/>
      <c r="C117"/>
    </row>
    <row r="118" spans="1:3">
      <c r="A118"/>
      <c r="B118"/>
      <c r="C118"/>
    </row>
    <row r="119" spans="1:3">
      <c r="A119"/>
      <c r="B119"/>
      <c r="C119"/>
    </row>
    <row r="120" spans="1:3">
      <c r="A120"/>
      <c r="B120"/>
      <c r="C120"/>
    </row>
    <row r="121" spans="1:3">
      <c r="A121"/>
      <c r="B121"/>
      <c r="C121"/>
    </row>
    <row r="122" spans="1:3">
      <c r="A122"/>
      <c r="B122"/>
      <c r="C122"/>
    </row>
    <row r="123" spans="1:3">
      <c r="A123"/>
      <c r="B123"/>
      <c r="C123"/>
    </row>
    <row r="124" spans="1:3">
      <c r="A124"/>
      <c r="B124"/>
      <c r="C124"/>
    </row>
    <row r="125" spans="1:3">
      <c r="A125"/>
      <c r="B125"/>
      <c r="C125"/>
    </row>
    <row r="126" spans="1:3">
      <c r="A126"/>
      <c r="B126"/>
      <c r="C126"/>
    </row>
    <row r="127" spans="1:3">
      <c r="A127"/>
      <c r="B127"/>
      <c r="C127"/>
    </row>
    <row r="128" spans="1:3">
      <c r="A128"/>
      <c r="B128"/>
      <c r="C128"/>
    </row>
    <row r="129" spans="1:3">
      <c r="A129"/>
      <c r="B129"/>
      <c r="C129"/>
    </row>
    <row r="130" spans="1:3">
      <c r="A130"/>
      <c r="B130"/>
      <c r="C130"/>
    </row>
    <row r="131" spans="1:3">
      <c r="A131"/>
      <c r="B131"/>
      <c r="C131"/>
    </row>
    <row r="132" spans="1:3">
      <c r="A132"/>
      <c r="B132"/>
      <c r="C132"/>
    </row>
    <row r="133" spans="1:3">
      <c r="A133"/>
      <c r="B133"/>
      <c r="C133"/>
    </row>
    <row r="134" spans="1:3">
      <c r="A134"/>
      <c r="B134"/>
      <c r="C134"/>
    </row>
    <row r="135" spans="1:3">
      <c r="A135"/>
      <c r="B135"/>
      <c r="C135"/>
    </row>
    <row r="136" spans="1:3">
      <c r="A136"/>
      <c r="B136"/>
      <c r="C136"/>
    </row>
    <row r="137" spans="1:3">
      <c r="A137"/>
      <c r="B137"/>
      <c r="C137"/>
    </row>
    <row r="138" spans="1:3">
      <c r="A138"/>
      <c r="B138"/>
      <c r="C138"/>
    </row>
    <row r="139" spans="1:3">
      <c r="A139"/>
      <c r="B139"/>
      <c r="C139"/>
    </row>
    <row r="140" spans="1:3">
      <c r="A140"/>
      <c r="B140"/>
      <c r="C140"/>
    </row>
    <row r="141" spans="1:3">
      <c r="A141"/>
      <c r="B141"/>
      <c r="C141"/>
    </row>
    <row r="142" spans="1:3">
      <c r="A142"/>
      <c r="B142"/>
      <c r="C142"/>
    </row>
    <row r="143" spans="1:3">
      <c r="A143"/>
      <c r="B143"/>
      <c r="C143"/>
    </row>
    <row r="144" spans="1:3">
      <c r="A144"/>
      <c r="B144"/>
      <c r="C144"/>
    </row>
    <row r="145" spans="1:3">
      <c r="A145"/>
      <c r="B145"/>
      <c r="C145"/>
    </row>
    <row r="146" spans="1:3">
      <c r="A146"/>
      <c r="B146"/>
      <c r="C146"/>
    </row>
    <row r="147" spans="1:3">
      <c r="A147"/>
      <c r="B147"/>
      <c r="C147"/>
    </row>
    <row r="148" spans="1:3">
      <c r="A148"/>
      <c r="B148"/>
      <c r="C148"/>
    </row>
    <row r="149" spans="1:3">
      <c r="A149"/>
      <c r="B149"/>
      <c r="C149"/>
    </row>
    <row r="150" spans="1:3">
      <c r="A150"/>
      <c r="B150"/>
      <c r="C150"/>
    </row>
    <row r="151" spans="1:3">
      <c r="A151"/>
      <c r="B151"/>
      <c r="C151"/>
    </row>
    <row r="152" spans="1:3">
      <c r="A152"/>
      <c r="B152"/>
      <c r="C152"/>
    </row>
    <row r="153" spans="1:3">
      <c r="A153"/>
      <c r="B153"/>
      <c r="C153"/>
    </row>
    <row r="154" spans="1:3">
      <c r="A154"/>
      <c r="B154"/>
      <c r="C154"/>
    </row>
    <row r="155" spans="1:3">
      <c r="A155"/>
      <c r="B155"/>
      <c r="C155"/>
    </row>
    <row r="156" spans="1:3">
      <c r="A156"/>
      <c r="B156"/>
      <c r="C156"/>
    </row>
    <row r="157" spans="1:3">
      <c r="A157"/>
      <c r="B157"/>
      <c r="C157"/>
    </row>
    <row r="158" spans="1:3">
      <c r="A158"/>
      <c r="B158"/>
      <c r="C158"/>
    </row>
    <row r="159" spans="1:3">
      <c r="A159"/>
      <c r="B159"/>
      <c r="C159"/>
    </row>
    <row r="160" spans="1:3">
      <c r="A160"/>
      <c r="B160"/>
      <c r="C160"/>
    </row>
    <row r="161" spans="1:3">
      <c r="A161"/>
      <c r="B161"/>
      <c r="C161"/>
    </row>
    <row r="162" spans="1:3">
      <c r="A162"/>
      <c r="B162"/>
      <c r="C162"/>
    </row>
    <row r="163" spans="1:3">
      <c r="A163"/>
      <c r="B163"/>
      <c r="C163"/>
    </row>
    <row r="164" spans="1:3">
      <c r="A164"/>
      <c r="B164"/>
      <c r="C164"/>
    </row>
    <row r="165" spans="1:3">
      <c r="A165"/>
      <c r="B165"/>
      <c r="C165"/>
    </row>
    <row r="166" spans="1:3">
      <c r="A166"/>
      <c r="B166"/>
      <c r="C166"/>
    </row>
    <row r="167" spans="1:3">
      <c r="A167"/>
      <c r="B167"/>
      <c r="C167"/>
    </row>
    <row r="168" spans="1:3">
      <c r="A168"/>
      <c r="B168"/>
      <c r="C168"/>
    </row>
    <row r="169" spans="1:3">
      <c r="A169"/>
      <c r="B169"/>
      <c r="C169"/>
    </row>
    <row r="170" spans="1:3">
      <c r="A170"/>
      <c r="B170"/>
      <c r="C170"/>
    </row>
    <row r="171" spans="1:3">
      <c r="A171"/>
      <c r="B171"/>
      <c r="C171"/>
    </row>
    <row r="172" spans="1:3">
      <c r="A172"/>
      <c r="B172"/>
      <c r="C172"/>
    </row>
    <row r="173" spans="1:3">
      <c r="A173"/>
      <c r="B173"/>
      <c r="C173"/>
    </row>
    <row r="174" spans="1:3">
      <c r="A174"/>
      <c r="B174"/>
      <c r="C174"/>
    </row>
    <row r="175" spans="1:3">
      <c r="A175"/>
      <c r="B175"/>
      <c r="C175"/>
    </row>
    <row r="176" spans="1:3">
      <c r="A176"/>
      <c r="B176"/>
      <c r="C176"/>
    </row>
    <row r="177" spans="1:3">
      <c r="A177"/>
      <c r="B177"/>
      <c r="C177"/>
    </row>
    <row r="178" spans="1:3">
      <c r="A178"/>
      <c r="B178"/>
      <c r="C178"/>
    </row>
    <row r="179" spans="1:3">
      <c r="A179"/>
      <c r="B179"/>
      <c r="C179"/>
    </row>
    <row r="180" spans="1:3">
      <c r="A180"/>
      <c r="B180"/>
      <c r="C180"/>
    </row>
    <row r="181" spans="1:3">
      <c r="A181"/>
      <c r="B181"/>
      <c r="C181"/>
    </row>
    <row r="182" spans="1:3">
      <c r="A182"/>
      <c r="B182"/>
      <c r="C182"/>
    </row>
    <row r="183" spans="1:3">
      <c r="A183"/>
      <c r="B183"/>
      <c r="C183"/>
    </row>
    <row r="184" spans="1:3">
      <c r="A184"/>
      <c r="B184"/>
      <c r="C184"/>
    </row>
    <row r="185" spans="1:3">
      <c r="A185"/>
      <c r="B185"/>
      <c r="C185"/>
    </row>
    <row r="186" spans="1:3">
      <c r="A186"/>
      <c r="B186"/>
      <c r="C186"/>
    </row>
    <row r="187" spans="1:3">
      <c r="A187"/>
      <c r="B187"/>
      <c r="C187"/>
    </row>
    <row r="188" spans="1:3">
      <c r="A188"/>
      <c r="B188"/>
      <c r="C188"/>
    </row>
    <row r="189" spans="1:3">
      <c r="A189"/>
      <c r="B189"/>
      <c r="C189"/>
    </row>
    <row r="190" spans="1:3">
      <c r="A190"/>
      <c r="B190"/>
      <c r="C190"/>
    </row>
    <row r="191" spans="1:3">
      <c r="A191"/>
      <c r="B191"/>
      <c r="C191"/>
    </row>
    <row r="192" spans="1:3">
      <c r="A192"/>
      <c r="B192"/>
      <c r="C192"/>
    </row>
    <row r="193" spans="1:3">
      <c r="A193"/>
      <c r="B193"/>
      <c r="C193"/>
    </row>
    <row r="194" spans="1:3">
      <c r="A194"/>
      <c r="B194"/>
      <c r="C194"/>
    </row>
    <row r="195" spans="1:3">
      <c r="A195"/>
      <c r="B195"/>
      <c r="C195"/>
    </row>
    <row r="196" spans="1:3">
      <c r="A196"/>
      <c r="B196"/>
      <c r="C196"/>
    </row>
    <row r="197" spans="1:3">
      <c r="A197"/>
      <c r="B197"/>
      <c r="C197"/>
    </row>
    <row r="198" spans="1:3">
      <c r="A198"/>
      <c r="B198"/>
      <c r="C198"/>
    </row>
    <row r="199" spans="1:3">
      <c r="A199"/>
      <c r="B199"/>
      <c r="C199"/>
    </row>
    <row r="200" spans="1:3">
      <c r="A200"/>
      <c r="B200"/>
      <c r="C200"/>
    </row>
    <row r="201" spans="1:3">
      <c r="A201"/>
      <c r="B201"/>
      <c r="C201"/>
    </row>
    <row r="202" spans="1:3">
      <c r="A202"/>
      <c r="B202"/>
      <c r="C202"/>
    </row>
    <row r="203" spans="1:3">
      <c r="A203"/>
      <c r="B203"/>
      <c r="C203"/>
    </row>
    <row r="204" spans="1:3">
      <c r="A204"/>
      <c r="B204"/>
      <c r="C204"/>
    </row>
    <row r="205" spans="1:3">
      <c r="A205"/>
      <c r="B205"/>
      <c r="C205"/>
    </row>
    <row r="206" spans="1:3">
      <c r="A206"/>
      <c r="B206"/>
      <c r="C206"/>
    </row>
    <row r="207" spans="1:3">
      <c r="A207"/>
      <c r="B207"/>
      <c r="C207"/>
    </row>
    <row r="208" spans="1:3">
      <c r="A208"/>
      <c r="B208"/>
      <c r="C208"/>
    </row>
    <row r="209" spans="1:3">
      <c r="A209"/>
      <c r="B209"/>
      <c r="C209"/>
    </row>
    <row r="210" spans="1:3">
      <c r="A210"/>
      <c r="B210"/>
      <c r="C210"/>
    </row>
    <row r="211" spans="1:3">
      <c r="A211"/>
      <c r="B211"/>
      <c r="C211"/>
    </row>
    <row r="212" spans="1:3">
      <c r="A212"/>
      <c r="B212"/>
      <c r="C212"/>
    </row>
    <row r="213" spans="1:3">
      <c r="A213"/>
      <c r="B213"/>
      <c r="C213"/>
    </row>
    <row r="214" spans="1:3">
      <c r="A214"/>
      <c r="B214"/>
      <c r="C214"/>
    </row>
    <row r="215" spans="1:3">
      <c r="A215"/>
      <c r="B215"/>
      <c r="C215"/>
    </row>
    <row r="216" spans="1:3">
      <c r="A216"/>
      <c r="B216"/>
      <c r="C216"/>
    </row>
    <row r="217" spans="1:3">
      <c r="A217"/>
      <c r="B217"/>
      <c r="C217"/>
    </row>
    <row r="218" spans="1:3">
      <c r="A218"/>
      <c r="B218"/>
      <c r="C218"/>
    </row>
    <row r="219" spans="1:3">
      <c r="A219"/>
      <c r="B219"/>
      <c r="C219"/>
    </row>
    <row r="220" spans="1:3">
      <c r="A220"/>
      <c r="B220"/>
      <c r="C220"/>
    </row>
    <row r="221" spans="1:3">
      <c r="A221"/>
      <c r="B221"/>
      <c r="C221"/>
    </row>
    <row r="222" spans="1:3">
      <c r="A222"/>
      <c r="B222"/>
      <c r="C222"/>
    </row>
    <row r="223" spans="1:3">
      <c r="A223"/>
      <c r="B223"/>
      <c r="C223"/>
    </row>
    <row r="224" spans="1:3">
      <c r="A224"/>
      <c r="B224"/>
      <c r="C224"/>
    </row>
    <row r="225" spans="1:3">
      <c r="A225"/>
      <c r="B225"/>
      <c r="C225"/>
    </row>
    <row r="226" spans="1:3">
      <c r="A226"/>
      <c r="B226"/>
      <c r="C226"/>
    </row>
    <row r="227" spans="1:3">
      <c r="A227"/>
      <c r="B227"/>
      <c r="C227"/>
    </row>
    <row r="228" spans="1:3">
      <c r="A228"/>
      <c r="B228"/>
      <c r="C228"/>
    </row>
    <row r="229" spans="1:3">
      <c r="A229"/>
      <c r="B229"/>
      <c r="C229"/>
    </row>
    <row r="230" spans="1:3">
      <c r="A230"/>
      <c r="B230"/>
      <c r="C230"/>
    </row>
    <row r="231" spans="1:3">
      <c r="A231"/>
      <c r="B231"/>
      <c r="C231"/>
    </row>
    <row r="232" spans="1:3">
      <c r="A232"/>
      <c r="B232"/>
      <c r="C232"/>
    </row>
    <row r="233" spans="1:3">
      <c r="A233"/>
      <c r="B233"/>
      <c r="C233"/>
    </row>
    <row r="234" spans="1:3">
      <c r="A234"/>
      <c r="B234"/>
      <c r="C234"/>
    </row>
    <row r="235" spans="1:3">
      <c r="A235"/>
      <c r="B235"/>
      <c r="C235"/>
    </row>
    <row r="236" spans="1:3">
      <c r="A236"/>
      <c r="B236"/>
      <c r="C236"/>
    </row>
    <row r="237" spans="1:3">
      <c r="A237"/>
      <c r="B237"/>
      <c r="C237"/>
    </row>
    <row r="238" spans="1:3">
      <c r="A238"/>
      <c r="B238"/>
      <c r="C238"/>
    </row>
    <row r="239" spans="1:3">
      <c r="A239"/>
      <c r="B239"/>
      <c r="C239"/>
    </row>
    <row r="240" spans="1:3">
      <c r="A240"/>
      <c r="B240"/>
      <c r="C240"/>
    </row>
    <row r="241" spans="1:3">
      <c r="A241"/>
      <c r="B241"/>
      <c r="C241"/>
    </row>
    <row r="242" spans="1:3">
      <c r="A242"/>
      <c r="B242"/>
      <c r="C242"/>
    </row>
    <row r="243" spans="1:3">
      <c r="A243"/>
      <c r="B243"/>
      <c r="C243"/>
    </row>
    <row r="244" spans="1:3">
      <c r="A244"/>
      <c r="B244"/>
      <c r="C244"/>
    </row>
    <row r="245" spans="1:3">
      <c r="A245"/>
      <c r="B245"/>
      <c r="C245"/>
    </row>
    <row r="246" spans="1:3">
      <c r="A246"/>
      <c r="B246"/>
      <c r="C246"/>
    </row>
    <row r="247" spans="1:3">
      <c r="A247"/>
      <c r="B247"/>
      <c r="C247"/>
    </row>
    <row r="248" spans="1:3">
      <c r="A248"/>
      <c r="B248"/>
      <c r="C248"/>
    </row>
    <row r="249" spans="1:3">
      <c r="A249"/>
      <c r="B249"/>
      <c r="C249"/>
    </row>
    <row r="250" spans="1:3">
      <c r="A250"/>
      <c r="B250"/>
      <c r="C250"/>
    </row>
    <row r="251" spans="1:3">
      <c r="A251"/>
      <c r="B251"/>
      <c r="C251"/>
    </row>
    <row r="252" spans="1:3">
      <c r="A252"/>
      <c r="B252"/>
      <c r="C252"/>
    </row>
    <row r="253" spans="1:3">
      <c r="A253"/>
      <c r="B253"/>
      <c r="C253"/>
    </row>
    <row r="254" spans="1:3">
      <c r="A254"/>
      <c r="B254"/>
      <c r="C254"/>
    </row>
    <row r="255" spans="1:3">
      <c r="A255"/>
      <c r="B255"/>
      <c r="C255"/>
    </row>
    <row r="256" spans="1:3">
      <c r="A256"/>
      <c r="B256"/>
      <c r="C256"/>
    </row>
    <row r="257" spans="1:3">
      <c r="A257"/>
      <c r="B257"/>
      <c r="C257"/>
    </row>
    <row r="258" spans="1:3">
      <c r="A258"/>
      <c r="B258"/>
      <c r="C258"/>
    </row>
    <row r="259" spans="1:3">
      <c r="A259"/>
      <c r="B259"/>
      <c r="C259"/>
    </row>
    <row r="260" spans="1:3">
      <c r="A260"/>
      <c r="B260"/>
      <c r="C260"/>
    </row>
    <row r="261" spans="1:3">
      <c r="A261"/>
      <c r="B261"/>
      <c r="C261"/>
    </row>
    <row r="262" spans="1:3">
      <c r="A262"/>
      <c r="B262"/>
      <c r="C262"/>
    </row>
    <row r="263" spans="1:3">
      <c r="A263"/>
      <c r="B263"/>
      <c r="C263"/>
    </row>
    <row r="264" spans="1:3">
      <c r="A264"/>
      <c r="B264"/>
      <c r="C264"/>
    </row>
    <row r="265" spans="1:3">
      <c r="A265"/>
      <c r="B265"/>
      <c r="C265"/>
    </row>
    <row r="266" spans="1:3">
      <c r="A266"/>
      <c r="B266"/>
      <c r="C266"/>
    </row>
    <row r="267" spans="1:3">
      <c r="A267"/>
      <c r="B267"/>
      <c r="C267"/>
    </row>
    <row r="268" spans="1:3">
      <c r="A268"/>
      <c r="B268"/>
      <c r="C268"/>
    </row>
    <row r="269" spans="1:3">
      <c r="A269"/>
      <c r="B269"/>
      <c r="C269"/>
    </row>
    <row r="270" spans="1:3">
      <c r="A270"/>
      <c r="B270"/>
      <c r="C270"/>
    </row>
    <row r="271" spans="1:3">
      <c r="A271"/>
      <c r="B271"/>
      <c r="C271"/>
    </row>
    <row r="272" spans="1:3">
      <c r="A272"/>
      <c r="B272"/>
      <c r="C272"/>
    </row>
    <row r="273" spans="1:3">
      <c r="A273"/>
      <c r="B273"/>
      <c r="C273"/>
    </row>
    <row r="274" spans="1:3">
      <c r="A274"/>
      <c r="B274"/>
      <c r="C274"/>
    </row>
    <row r="275" spans="1:3">
      <c r="A275"/>
      <c r="B275"/>
      <c r="C275"/>
    </row>
    <row r="276" spans="1:3">
      <c r="A276"/>
      <c r="B276"/>
      <c r="C276"/>
    </row>
    <row r="277" spans="1:3">
      <c r="A277"/>
      <c r="B277"/>
      <c r="C277"/>
    </row>
    <row r="278" spans="1:3">
      <c r="A278"/>
      <c r="B278"/>
      <c r="C278"/>
    </row>
    <row r="279" spans="1:3">
      <c r="A279"/>
      <c r="B279"/>
      <c r="C279"/>
    </row>
    <row r="280" spans="1:3">
      <c r="A280"/>
      <c r="B280"/>
      <c r="C280"/>
    </row>
    <row r="281" spans="1:3">
      <c r="A281"/>
      <c r="B281"/>
      <c r="C281"/>
    </row>
    <row r="282" spans="1:3">
      <c r="A282"/>
      <c r="B282"/>
      <c r="C282"/>
    </row>
    <row r="283" spans="1:3">
      <c r="A283"/>
      <c r="B283"/>
      <c r="C283"/>
    </row>
    <row r="284" spans="1:3">
      <c r="A284"/>
      <c r="B284"/>
      <c r="C284"/>
    </row>
    <row r="285" spans="1:3">
      <c r="A285"/>
      <c r="B285"/>
      <c r="C285"/>
    </row>
    <row r="286" spans="1:3">
      <c r="A286"/>
      <c r="B286"/>
      <c r="C286"/>
    </row>
    <row r="287" spans="1:3">
      <c r="A287"/>
      <c r="B287"/>
      <c r="C287"/>
    </row>
    <row r="288" spans="1:3">
      <c r="A288"/>
      <c r="B288"/>
      <c r="C288"/>
    </row>
    <row r="289" spans="1:3">
      <c r="A289"/>
      <c r="B289"/>
      <c r="C289"/>
    </row>
    <row r="290" spans="1:3">
      <c r="A290"/>
      <c r="B290"/>
      <c r="C290"/>
    </row>
    <row r="291" spans="1:3">
      <c r="A291"/>
      <c r="B291"/>
      <c r="C291"/>
    </row>
    <row r="292" spans="1:3">
      <c r="A292"/>
      <c r="B292"/>
      <c r="C292"/>
    </row>
    <row r="293" spans="1:3">
      <c r="A293"/>
      <c r="B293"/>
      <c r="C293"/>
    </row>
    <row r="294" spans="1:3">
      <c r="A294"/>
      <c r="B294"/>
      <c r="C294"/>
    </row>
    <row r="295" spans="1:3">
      <c r="A295"/>
      <c r="B295"/>
      <c r="C295"/>
    </row>
    <row r="296" spans="1:3">
      <c r="A296"/>
      <c r="B296"/>
      <c r="C296"/>
    </row>
    <row r="297" spans="1:3">
      <c r="A297"/>
      <c r="B297"/>
      <c r="C297"/>
    </row>
    <row r="298" spans="1:3">
      <c r="A298"/>
      <c r="B298"/>
      <c r="C298"/>
    </row>
    <row r="299" spans="1:3">
      <c r="A299"/>
      <c r="B299"/>
      <c r="C299"/>
    </row>
    <row r="300" spans="1:3">
      <c r="A300"/>
      <c r="B300"/>
      <c r="C300"/>
    </row>
    <row r="301" spans="1:3">
      <c r="A301"/>
      <c r="B301"/>
      <c r="C301"/>
    </row>
    <row r="302" spans="1:3">
      <c r="A302"/>
      <c r="B302"/>
      <c r="C302"/>
    </row>
    <row r="303" spans="1:3">
      <c r="A303"/>
      <c r="B303"/>
      <c r="C303"/>
    </row>
    <row r="304" spans="1:3">
      <c r="A304"/>
      <c r="B304"/>
      <c r="C304"/>
    </row>
    <row r="305" spans="1:3">
      <c r="A305"/>
      <c r="B305"/>
      <c r="C305"/>
    </row>
    <row r="306" spans="1:3">
      <c r="A306"/>
      <c r="B306"/>
      <c r="C306"/>
    </row>
    <row r="307" spans="1:3">
      <c r="A307"/>
      <c r="B307"/>
      <c r="C307"/>
    </row>
    <row r="308" spans="1:3">
      <c r="A308"/>
      <c r="B308"/>
      <c r="C308"/>
    </row>
    <row r="309" spans="1:3">
      <c r="A309"/>
      <c r="B309"/>
      <c r="C309"/>
    </row>
    <row r="310" spans="1:3">
      <c r="A310"/>
      <c r="B310"/>
      <c r="C310"/>
    </row>
    <row r="311" spans="1:3">
      <c r="A311"/>
      <c r="B311"/>
      <c r="C311"/>
    </row>
    <row r="312" spans="1:3">
      <c r="A312"/>
      <c r="B312"/>
      <c r="C312"/>
    </row>
    <row r="313" spans="1:3">
      <c r="A313"/>
      <c r="B313"/>
      <c r="C313"/>
    </row>
    <row r="314" spans="1:3">
      <c r="A314"/>
      <c r="B314"/>
      <c r="C314"/>
    </row>
    <row r="315" spans="1:3">
      <c r="A315"/>
      <c r="B315"/>
      <c r="C315"/>
    </row>
    <row r="316" spans="1:3">
      <c r="A316"/>
      <c r="B316"/>
      <c r="C316"/>
    </row>
    <row r="317" spans="1:3">
      <c r="A317"/>
      <c r="B317"/>
      <c r="C317"/>
    </row>
    <row r="318" spans="1:3">
      <c r="A318"/>
      <c r="B318"/>
      <c r="C318"/>
    </row>
    <row r="319" spans="1:3">
      <c r="A319"/>
      <c r="B319"/>
      <c r="C319"/>
    </row>
    <row r="320" spans="1:3">
      <c r="A320"/>
      <c r="B320"/>
      <c r="C320"/>
    </row>
    <row r="321" spans="1:3">
      <c r="A321"/>
      <c r="B321"/>
      <c r="C321"/>
    </row>
    <row r="322" spans="1:3">
      <c r="A322"/>
      <c r="B322"/>
      <c r="C322"/>
    </row>
    <row r="323" spans="1:3">
      <c r="A323"/>
      <c r="B323"/>
      <c r="C323"/>
    </row>
    <row r="324" spans="1:3">
      <c r="A324"/>
      <c r="B324"/>
      <c r="C324"/>
    </row>
    <row r="325" spans="1:3">
      <c r="A325"/>
      <c r="B325"/>
      <c r="C325"/>
    </row>
    <row r="326" spans="1:3">
      <c r="A326"/>
      <c r="B326"/>
      <c r="C326"/>
    </row>
    <row r="327" spans="1:3">
      <c r="A327"/>
      <c r="B327"/>
      <c r="C327"/>
    </row>
    <row r="328" spans="1:3">
      <c r="A328"/>
      <c r="B328"/>
      <c r="C328"/>
    </row>
    <row r="329" spans="1:3">
      <c r="A329"/>
      <c r="B329"/>
      <c r="C329"/>
    </row>
    <row r="330" spans="1:3">
      <c r="A330"/>
      <c r="B330"/>
      <c r="C330"/>
    </row>
    <row r="331" spans="1:3">
      <c r="A331"/>
      <c r="B331"/>
      <c r="C331"/>
    </row>
    <row r="332" spans="1:3">
      <c r="A332"/>
      <c r="B332"/>
      <c r="C332"/>
    </row>
    <row r="333" spans="1:3">
      <c r="A333"/>
      <c r="B333"/>
      <c r="C333"/>
    </row>
    <row r="334" spans="1:3">
      <c r="A334"/>
      <c r="B334"/>
      <c r="C334"/>
    </row>
    <row r="335" spans="1:3">
      <c r="A335"/>
      <c r="B335"/>
      <c r="C335"/>
    </row>
    <row r="336" spans="1:3">
      <c r="A336"/>
      <c r="B336"/>
      <c r="C336"/>
    </row>
    <row r="337" spans="1:3">
      <c r="A337"/>
      <c r="B337"/>
      <c r="C337"/>
    </row>
    <row r="338" spans="1:3">
      <c r="A338"/>
      <c r="B338"/>
      <c r="C338"/>
    </row>
    <row r="339" spans="1:3">
      <c r="A339"/>
      <c r="B339"/>
      <c r="C339"/>
    </row>
    <row r="340" spans="1:3">
      <c r="A340"/>
      <c r="B340"/>
      <c r="C340"/>
    </row>
    <row r="341" spans="1:3">
      <c r="A341"/>
      <c r="B341"/>
      <c r="C341"/>
    </row>
    <row r="342" spans="1:3">
      <c r="A342"/>
      <c r="B342"/>
      <c r="C342"/>
    </row>
    <row r="343" spans="1:3">
      <c r="A343"/>
      <c r="B343"/>
      <c r="C343"/>
    </row>
    <row r="344" spans="1:3">
      <c r="A344"/>
      <c r="B344"/>
      <c r="C344"/>
    </row>
    <row r="345" spans="1:3">
      <c r="A345"/>
      <c r="B345"/>
      <c r="C345"/>
    </row>
    <row r="346" spans="1:3">
      <c r="A346"/>
      <c r="B346"/>
      <c r="C346"/>
    </row>
    <row r="347" spans="1:3">
      <c r="A347"/>
      <c r="B347"/>
      <c r="C347"/>
    </row>
    <row r="348" spans="1:3">
      <c r="A348"/>
      <c r="B348"/>
      <c r="C348"/>
    </row>
    <row r="349" spans="1:3">
      <c r="A349"/>
      <c r="B349"/>
      <c r="C349"/>
    </row>
    <row r="350" spans="1:3">
      <c r="A350"/>
      <c r="B350"/>
      <c r="C350"/>
    </row>
    <row r="351" spans="1:3">
      <c r="A351"/>
      <c r="B351"/>
      <c r="C351"/>
    </row>
    <row r="352" spans="1:3">
      <c r="A352"/>
      <c r="B352"/>
      <c r="C352"/>
    </row>
    <row r="353" spans="1:3">
      <c r="A353"/>
      <c r="B353"/>
      <c r="C353"/>
    </row>
    <row r="354" spans="1:3">
      <c r="A354"/>
      <c r="B354"/>
      <c r="C354"/>
    </row>
    <row r="355" spans="1:3">
      <c r="A355"/>
      <c r="B355"/>
      <c r="C355"/>
    </row>
    <row r="356" spans="1:3">
      <c r="A356"/>
      <c r="B356"/>
      <c r="C356"/>
    </row>
    <row r="357" spans="1:3">
      <c r="A357"/>
      <c r="B357"/>
      <c r="C357"/>
    </row>
    <row r="358" spans="1:3">
      <c r="A358"/>
      <c r="B358"/>
      <c r="C358"/>
    </row>
    <row r="359" spans="1:3">
      <c r="A359"/>
      <c r="B359"/>
      <c r="C359"/>
    </row>
    <row r="360" spans="1:3">
      <c r="A360"/>
      <c r="B360"/>
      <c r="C360"/>
    </row>
    <row r="361" spans="1:3">
      <c r="A361"/>
      <c r="B361"/>
      <c r="C361"/>
    </row>
    <row r="362" spans="1:3">
      <c r="A362"/>
      <c r="B362"/>
      <c r="C362"/>
    </row>
    <row r="363" spans="1:3">
      <c r="A363"/>
      <c r="B363"/>
      <c r="C363"/>
    </row>
    <row r="364" spans="1:3">
      <c r="A364"/>
      <c r="B364"/>
      <c r="C364"/>
    </row>
    <row r="365" spans="1:3">
      <c r="A365"/>
      <c r="B365"/>
      <c r="C365"/>
    </row>
    <row r="366" spans="1:3">
      <c r="A366"/>
      <c r="B366"/>
      <c r="C366"/>
    </row>
    <row r="367" spans="1:3">
      <c r="A367"/>
      <c r="B367"/>
      <c r="C367"/>
    </row>
    <row r="368" spans="1:3">
      <c r="A368"/>
      <c r="B368"/>
      <c r="C368"/>
    </row>
    <row r="369" spans="1:3">
      <c r="A369"/>
      <c r="B369"/>
      <c r="C369"/>
    </row>
    <row r="370" spans="1:3">
      <c r="A370"/>
      <c r="B370"/>
      <c r="C370"/>
    </row>
    <row r="371" spans="1:3">
      <c r="A371"/>
      <c r="B371"/>
      <c r="C371"/>
    </row>
    <row r="372" spans="1:3">
      <c r="A372"/>
      <c r="B372"/>
      <c r="C372"/>
    </row>
    <row r="373" spans="1:3">
      <c r="A373"/>
      <c r="B373"/>
      <c r="C373"/>
    </row>
    <row r="374" spans="1:3">
      <c r="A374"/>
      <c r="B374"/>
      <c r="C374"/>
    </row>
    <row r="375" spans="1:3">
      <c r="A375"/>
      <c r="B375"/>
      <c r="C375"/>
    </row>
    <row r="376" spans="1:3">
      <c r="A376"/>
      <c r="B376"/>
      <c r="C376"/>
    </row>
    <row r="377" spans="1:3">
      <c r="A377"/>
      <c r="B377"/>
      <c r="C377"/>
    </row>
    <row r="378" spans="1:3">
      <c r="A378"/>
      <c r="B378"/>
      <c r="C378"/>
    </row>
    <row r="379" spans="1:3">
      <c r="A379"/>
      <c r="B379"/>
      <c r="C379"/>
    </row>
    <row r="380" spans="1:3">
      <c r="A380"/>
      <c r="B380"/>
      <c r="C380"/>
    </row>
    <row r="381" spans="1:3">
      <c r="A381"/>
      <c r="B381"/>
      <c r="C381"/>
    </row>
    <row r="382" spans="1:3">
      <c r="A382"/>
      <c r="B382"/>
      <c r="C382"/>
    </row>
    <row r="383" spans="1:3">
      <c r="A383"/>
      <c r="B383"/>
      <c r="C383"/>
    </row>
    <row r="384" spans="1:3">
      <c r="A384"/>
      <c r="B384"/>
      <c r="C384"/>
    </row>
    <row r="385" spans="1:3">
      <c r="A385"/>
      <c r="B385"/>
      <c r="C385"/>
    </row>
    <row r="386" spans="1:3">
      <c r="A386"/>
      <c r="B386"/>
      <c r="C386"/>
    </row>
    <row r="387" spans="1:3">
      <c r="A387"/>
      <c r="B387"/>
      <c r="C387"/>
    </row>
    <row r="388" spans="1:3">
      <c r="A388"/>
      <c r="B388"/>
      <c r="C388"/>
    </row>
    <row r="389" spans="1:3">
      <c r="A389"/>
      <c r="B389"/>
      <c r="C389"/>
    </row>
    <row r="390" spans="1:3">
      <c r="A390"/>
      <c r="B390"/>
      <c r="C390"/>
    </row>
    <row r="391" spans="1:3">
      <c r="A391"/>
      <c r="B391"/>
      <c r="C391"/>
    </row>
    <row r="392" spans="1:3">
      <c r="A392"/>
      <c r="B392"/>
      <c r="C392"/>
    </row>
    <row r="393" spans="1:3">
      <c r="A393"/>
      <c r="B393"/>
      <c r="C393"/>
    </row>
    <row r="394" spans="1:3">
      <c r="A394"/>
      <c r="B394"/>
      <c r="C394"/>
    </row>
    <row r="395" spans="1:3">
      <c r="A395"/>
      <c r="B395"/>
      <c r="C395"/>
    </row>
    <row r="396" spans="1:3">
      <c r="A396"/>
      <c r="B396"/>
      <c r="C396"/>
    </row>
    <row r="397" spans="1:3">
      <c r="A397"/>
      <c r="B397"/>
      <c r="C397"/>
    </row>
    <row r="398" spans="1:3">
      <c r="A398"/>
      <c r="B398"/>
      <c r="C398"/>
    </row>
    <row r="399" spans="1:3">
      <c r="A399"/>
      <c r="B399"/>
      <c r="C399"/>
    </row>
    <row r="400" spans="1:3">
      <c r="A400"/>
      <c r="B400"/>
      <c r="C400"/>
    </row>
    <row r="401" spans="1:3">
      <c r="A401"/>
      <c r="B401"/>
      <c r="C401"/>
    </row>
    <row r="402" spans="1:3">
      <c r="A402"/>
      <c r="B402"/>
      <c r="C402"/>
    </row>
    <row r="403" spans="1:3">
      <c r="A403"/>
      <c r="B403"/>
      <c r="C403"/>
    </row>
    <row r="404" spans="1:3">
      <c r="A404"/>
      <c r="B404"/>
      <c r="C404"/>
    </row>
    <row r="405" spans="1:3">
      <c r="A405"/>
      <c r="B405"/>
      <c r="C405"/>
    </row>
    <row r="406" spans="1:3">
      <c r="A406"/>
      <c r="B406"/>
      <c r="C406"/>
    </row>
    <row r="407" spans="1:3">
      <c r="A407"/>
      <c r="B407"/>
      <c r="C407"/>
    </row>
    <row r="408" spans="1:3">
      <c r="A408"/>
      <c r="B408"/>
      <c r="C408"/>
    </row>
    <row r="409" spans="1:3">
      <c r="A409"/>
      <c r="B409"/>
      <c r="C409"/>
    </row>
    <row r="410" spans="1:3">
      <c r="A410"/>
      <c r="B410"/>
      <c r="C410"/>
    </row>
    <row r="411" spans="1:3">
      <c r="A411"/>
      <c r="B411"/>
      <c r="C411"/>
    </row>
    <row r="412" spans="1:3">
      <c r="A412"/>
      <c r="B412"/>
      <c r="C412"/>
    </row>
    <row r="413" spans="1:3">
      <c r="A413"/>
      <c r="B413"/>
      <c r="C413"/>
    </row>
    <row r="414" spans="1:3">
      <c r="A414"/>
      <c r="B414"/>
      <c r="C414"/>
    </row>
    <row r="415" spans="1:3">
      <c r="A415"/>
      <c r="B415"/>
      <c r="C415"/>
    </row>
    <row r="416" spans="1:3">
      <c r="A416"/>
      <c r="B416"/>
      <c r="C416"/>
    </row>
    <row r="417" spans="1:3">
      <c r="A417"/>
      <c r="B417"/>
      <c r="C417"/>
    </row>
    <row r="418" spans="1:3">
      <c r="A418"/>
      <c r="B418"/>
      <c r="C418"/>
    </row>
    <row r="419" spans="1:3">
      <c r="A419"/>
      <c r="B419"/>
      <c r="C419"/>
    </row>
    <row r="420" spans="1:3">
      <c r="A420"/>
      <c r="B420"/>
      <c r="C420"/>
    </row>
    <row r="421" spans="1:3">
      <c r="A421"/>
      <c r="B421"/>
      <c r="C421"/>
    </row>
    <row r="422" spans="1:3">
      <c r="A422"/>
      <c r="B422"/>
      <c r="C422"/>
    </row>
    <row r="423" spans="1:3">
      <c r="A423"/>
      <c r="B423"/>
      <c r="C423"/>
    </row>
    <row r="424" spans="1:3">
      <c r="A424"/>
      <c r="B424"/>
      <c r="C424"/>
    </row>
    <row r="425" spans="1:3">
      <c r="A425"/>
      <c r="B425"/>
      <c r="C425"/>
    </row>
    <row r="426" spans="1:3">
      <c r="A426"/>
      <c r="B426"/>
      <c r="C426"/>
    </row>
    <row r="427" spans="1:3">
      <c r="A427"/>
      <c r="B427"/>
      <c r="C427"/>
    </row>
    <row r="428" spans="1:3">
      <c r="A428"/>
      <c r="B428"/>
      <c r="C428"/>
    </row>
    <row r="429" spans="1:3">
      <c r="A429"/>
      <c r="B429"/>
      <c r="C429"/>
    </row>
    <row r="430" spans="1:3">
      <c r="A430"/>
      <c r="B430"/>
      <c r="C430"/>
    </row>
    <row r="431" spans="1:3">
      <c r="A431"/>
      <c r="B431"/>
      <c r="C431"/>
    </row>
    <row r="432" spans="1:3">
      <c r="A432"/>
      <c r="B432"/>
      <c r="C432"/>
    </row>
    <row r="433" spans="1:3">
      <c r="A433"/>
      <c r="B433"/>
      <c r="C433"/>
    </row>
    <row r="434" spans="1:3">
      <c r="A434"/>
      <c r="B434"/>
      <c r="C434"/>
    </row>
    <row r="435" spans="1:3">
      <c r="A435"/>
      <c r="B435"/>
      <c r="C435"/>
    </row>
    <row r="436" spans="1:3">
      <c r="A436"/>
      <c r="B436"/>
      <c r="C436"/>
    </row>
    <row r="437" spans="1:3">
      <c r="A437"/>
      <c r="B437"/>
      <c r="C437"/>
    </row>
    <row r="438" spans="1:3">
      <c r="A438"/>
      <c r="B438"/>
      <c r="C438"/>
    </row>
    <row r="439" spans="1:3">
      <c r="A439"/>
      <c r="B439"/>
      <c r="C439"/>
    </row>
    <row r="440" spans="1:3">
      <c r="A440"/>
      <c r="B440"/>
      <c r="C440"/>
    </row>
    <row r="441" spans="1:3">
      <c r="A441"/>
      <c r="B441"/>
      <c r="C441"/>
    </row>
    <row r="442" spans="1:3">
      <c r="A442"/>
      <c r="B442"/>
      <c r="C442"/>
    </row>
    <row r="443" spans="1:3">
      <c r="A443"/>
      <c r="B443"/>
      <c r="C443"/>
    </row>
    <row r="444" spans="1:3">
      <c r="A444"/>
      <c r="B444"/>
      <c r="C444"/>
    </row>
    <row r="445" spans="1:3">
      <c r="A445"/>
      <c r="B445"/>
      <c r="C445"/>
    </row>
    <row r="446" spans="1:3">
      <c r="A446"/>
      <c r="B446"/>
      <c r="C446"/>
    </row>
    <row r="447" spans="1:3">
      <c r="A447"/>
      <c r="B447"/>
      <c r="C447"/>
    </row>
    <row r="448" spans="1:3">
      <c r="A448"/>
      <c r="B448"/>
      <c r="C448"/>
    </row>
    <row r="449" spans="1:3">
      <c r="A449"/>
      <c r="B449"/>
      <c r="C449"/>
    </row>
    <row r="450" spans="1:3">
      <c r="A450"/>
      <c r="B450"/>
      <c r="C450"/>
    </row>
    <row r="451" spans="1:3">
      <c r="A451"/>
      <c r="B451"/>
      <c r="C451"/>
    </row>
    <row r="452" spans="1:3">
      <c r="A452"/>
      <c r="B452"/>
      <c r="C452"/>
    </row>
    <row r="453" spans="1:3">
      <c r="A453"/>
      <c r="B453"/>
      <c r="C453"/>
    </row>
    <row r="454" spans="1:3">
      <c r="A454"/>
      <c r="B454"/>
      <c r="C454"/>
    </row>
    <row r="455" spans="1:3">
      <c r="A455"/>
      <c r="B455"/>
      <c r="C455"/>
    </row>
    <row r="456" spans="1:3">
      <c r="A456"/>
      <c r="B456"/>
      <c r="C456"/>
    </row>
    <row r="457" spans="1:3">
      <c r="A457"/>
      <c r="B457"/>
      <c r="C457"/>
    </row>
    <row r="458" spans="1:3">
      <c r="A458"/>
      <c r="B458"/>
      <c r="C458"/>
    </row>
    <row r="459" spans="1:3">
      <c r="A459"/>
      <c r="B459"/>
      <c r="C459"/>
    </row>
    <row r="460" spans="1:3">
      <c r="A460"/>
      <c r="B460"/>
      <c r="C460"/>
    </row>
    <row r="461" spans="1:3">
      <c r="A461"/>
      <c r="B461"/>
      <c r="C461"/>
    </row>
    <row r="462" spans="1:3">
      <c r="A462"/>
      <c r="B462"/>
      <c r="C462"/>
    </row>
    <row r="463" spans="1:3">
      <c r="A463"/>
      <c r="B463"/>
      <c r="C463"/>
    </row>
    <row r="464" spans="1:3">
      <c r="A464"/>
      <c r="B464"/>
      <c r="C464"/>
    </row>
    <row r="465" spans="1:3">
      <c r="A465"/>
      <c r="B465"/>
      <c r="C465"/>
    </row>
    <row r="466" spans="1:3">
      <c r="A466"/>
      <c r="B466"/>
      <c r="C466"/>
    </row>
    <row r="467" spans="1:3">
      <c r="A467"/>
      <c r="B467"/>
      <c r="C467"/>
    </row>
    <row r="468" spans="1:3">
      <c r="A468"/>
      <c r="B468"/>
      <c r="C468"/>
    </row>
    <row r="469" spans="1:3">
      <c r="A469"/>
      <c r="B469"/>
      <c r="C469"/>
    </row>
    <row r="470" spans="1:3">
      <c r="A470"/>
      <c r="B470"/>
      <c r="C470"/>
    </row>
    <row r="471" spans="1:3">
      <c r="A471"/>
      <c r="B471"/>
      <c r="C471"/>
    </row>
    <row r="472" spans="1:3">
      <c r="A472"/>
      <c r="B472"/>
      <c r="C472"/>
    </row>
    <row r="473" spans="1:3">
      <c r="A473"/>
      <c r="B473"/>
      <c r="C473"/>
    </row>
    <row r="474" spans="1:3">
      <c r="A474"/>
      <c r="B474"/>
      <c r="C474"/>
    </row>
    <row r="475" spans="1:3">
      <c r="A475"/>
      <c r="B475"/>
      <c r="C475"/>
    </row>
    <row r="476" spans="1:3">
      <c r="A476"/>
      <c r="B476"/>
      <c r="C476"/>
    </row>
    <row r="477" spans="1:3">
      <c r="A477"/>
      <c r="B477"/>
      <c r="C477"/>
    </row>
    <row r="478" spans="1:3">
      <c r="A478"/>
      <c r="B478"/>
      <c r="C478"/>
    </row>
    <row r="479" spans="1:3">
      <c r="A479"/>
      <c r="B479"/>
      <c r="C479"/>
    </row>
    <row r="480" spans="1:3">
      <c r="A480"/>
      <c r="B480"/>
      <c r="C480"/>
    </row>
    <row r="481" spans="1:3">
      <c r="A481"/>
      <c r="B481"/>
      <c r="C481"/>
    </row>
    <row r="482" spans="1:3">
      <c r="A482"/>
      <c r="B482"/>
      <c r="C482"/>
    </row>
    <row r="483" spans="1:3">
      <c r="A483"/>
      <c r="B483"/>
      <c r="C483"/>
    </row>
    <row r="484" spans="1:3">
      <c r="A484"/>
      <c r="B484"/>
      <c r="C484"/>
    </row>
    <row r="485" spans="1:3">
      <c r="A485"/>
      <c r="B485"/>
      <c r="C485"/>
    </row>
    <row r="486" spans="1:3">
      <c r="A486"/>
      <c r="B486"/>
      <c r="C486"/>
    </row>
    <row r="487" spans="1:3">
      <c r="A487"/>
      <c r="B487"/>
      <c r="C487"/>
    </row>
    <row r="488" spans="1:3">
      <c r="A488"/>
      <c r="B488"/>
      <c r="C488"/>
    </row>
    <row r="489" spans="1:3">
      <c r="A489"/>
      <c r="B489"/>
      <c r="C489"/>
    </row>
    <row r="490" spans="1:3">
      <c r="A490"/>
      <c r="B490"/>
      <c r="C490"/>
    </row>
    <row r="491" spans="1:3">
      <c r="A491"/>
      <c r="B491"/>
      <c r="C491"/>
    </row>
    <row r="492" spans="1:3">
      <c r="A492"/>
      <c r="B492"/>
      <c r="C492"/>
    </row>
    <row r="493" spans="1:3">
      <c r="A493"/>
      <c r="B493"/>
      <c r="C493"/>
    </row>
    <row r="494" spans="1:3">
      <c r="A494"/>
      <c r="B494"/>
      <c r="C494"/>
    </row>
    <row r="495" spans="1:3">
      <c r="A495"/>
      <c r="B495"/>
      <c r="C495"/>
    </row>
    <row r="496" spans="1:3">
      <c r="A496"/>
      <c r="B496"/>
      <c r="C496"/>
    </row>
    <row r="497" spans="1:3">
      <c r="A497"/>
      <c r="B497"/>
      <c r="C497"/>
    </row>
    <row r="498" spans="1:3">
      <c r="A498"/>
      <c r="B498"/>
      <c r="C498"/>
    </row>
    <row r="499" spans="1:3">
      <c r="A499"/>
      <c r="B499"/>
      <c r="C499"/>
    </row>
    <row r="500" spans="1:3">
      <c r="A500"/>
      <c r="B500"/>
      <c r="C500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DA4B43-FCF0-4345-B0AF-1C13ED2E534E}">
  <sheetPr codeName="Sheet2"/>
  <dimension ref="A1"/>
  <sheetViews>
    <sheetView topLeftCell="A51" workbookViewId="0">
      <selection activeCell="F5" sqref="F5"/>
    </sheetView>
  </sheetViews>
  <sheetFormatPr baseColWidth="10" defaultRowHeight="16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5F36B-FD9C-664E-9813-91C365CE2150}">
  <sheetPr codeName="Sheet3"/>
  <dimension ref="A1"/>
  <sheetViews>
    <sheetView workbookViewId="0">
      <selection activeCell="G26" sqref="G26"/>
    </sheetView>
  </sheetViews>
  <sheetFormatPr baseColWidth="10" defaultRowHeight="16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Home</vt:lpstr>
      <vt:lpstr>Multiruns</vt:lpstr>
      <vt:lpstr>Global Best</vt:lpstr>
      <vt:lpstr>Global Best Function</vt:lpstr>
      <vt:lpstr>Functions</vt:lpstr>
      <vt:lpstr>Best Position</vt:lpstr>
      <vt:lpstr>Worst Position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Ashley Marshall [mn14aem]</cp:lastModifiedBy>
  <dcterms:created xsi:type="dcterms:W3CDTF">2017-12-04T13:35:42Z</dcterms:created>
  <dcterms:modified xsi:type="dcterms:W3CDTF">2018-04-20T14:16:05Z</dcterms:modified>
</cp:coreProperties>
</file>